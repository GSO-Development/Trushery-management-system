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orgesteuart-my.sharepoint.com/personal/nandika_georgesteuart_lk/Documents/Inter-Company Balances/Intercompany Budget/Group Treasury Management/"/>
    </mc:Choice>
  </mc:AlternateContent>
  <xr:revisionPtr revIDLastSave="253" documentId="8_{5E33148D-BB1D-4B11-BC9D-146199DEA0EE}" xr6:coauthVersionLast="47" xr6:coauthVersionMax="47" xr10:uidLastSave="{4C1B0E17-C533-4A44-917E-44D9E5FA725D}"/>
  <bookViews>
    <workbookView xWindow="-110" yWindow="-110" windowWidth="19420" windowHeight="11500" xr2:uid="{BF26C25E-2F5D-4754-AB8B-196806794DBF}"/>
  </bookViews>
  <sheets>
    <sheet name="1. Summary" sheetId="1" r:id="rId1"/>
    <sheet name="3. Loans" sheetId="4" r:id="rId2"/>
    <sheet name="3.3 deposits" sheetId="15" r:id="rId3"/>
    <sheet name="1. GSS" sheetId="13" state="hidden" r:id="rId4"/>
    <sheet name="2. GSS" sheetId="14" state="hidden" r:id="rId5"/>
    <sheet name="1. Citrus Group" sheetId="11" state="hidden" r:id="rId6"/>
    <sheet name="3. Citrus Group" sheetId="3" state="hidden" r:id="rId7"/>
    <sheet name="1 &amp; 3 GSIB" sheetId="5" state="hidden" r:id="rId8"/>
    <sheet name="1. GSH" sheetId="6" state="hidden" r:id="rId9"/>
    <sheet name="3. GSH" sheetId="7" state="hidden" r:id="rId10"/>
    <sheet name="1 &amp; 3 GST" sheetId="8" state="hidden" r:id="rId11"/>
    <sheet name="1 &amp; 3 GS Ticketing" sheetId="9" state="hidden" r:id="rId12"/>
    <sheet name="3. GSTravels Annexure1" sheetId="10" state="hidden" r:id="rId13"/>
  </sheets>
  <externalReferences>
    <externalReference r:id="rId14"/>
  </externalReferences>
  <definedNames>
    <definedName name="_xlnm.Print_Area" localSheetId="0">'1. Summary'!$A$1:$M$117</definedName>
    <definedName name="_xlnm.Print_Area" localSheetId="1">'3.3 deposits'!$A$1:$I$39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9" i="15" l="1"/>
  <c r="A39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15" i="15"/>
  <c r="B14" i="15"/>
  <c r="B13" i="15"/>
  <c r="B12" i="15"/>
  <c r="B11" i="15"/>
  <c r="B4" i="15"/>
  <c r="A4" i="15"/>
  <c r="B26" i="1"/>
  <c r="C92" i="4"/>
  <c r="D92" i="4"/>
  <c r="C93" i="4"/>
  <c r="D93" i="4"/>
  <c r="C94" i="4"/>
  <c r="D94" i="4"/>
  <c r="C95" i="4"/>
  <c r="D95" i="4"/>
  <c r="C96" i="4"/>
  <c r="D96" i="4"/>
  <c r="C97" i="4"/>
  <c r="D97" i="4"/>
  <c r="C98" i="4"/>
  <c r="D98" i="4"/>
  <c r="C99" i="4"/>
  <c r="D99" i="4"/>
  <c r="C100" i="4"/>
  <c r="D100" i="4"/>
  <c r="C101" i="4"/>
  <c r="D101" i="4"/>
  <c r="C102" i="4"/>
  <c r="D102" i="4"/>
  <c r="C103" i="4"/>
  <c r="D103" i="4"/>
  <c r="C104" i="4"/>
  <c r="D104" i="4"/>
  <c r="C105" i="4"/>
  <c r="D105" i="4"/>
  <c r="C106" i="4"/>
  <c r="D106" i="4"/>
  <c r="C107" i="4"/>
  <c r="D107" i="4"/>
  <c r="C108" i="4"/>
  <c r="D108" i="4"/>
  <c r="C109" i="4"/>
  <c r="D109" i="4"/>
  <c r="C110" i="4"/>
  <c r="D110" i="4"/>
  <c r="C111" i="4"/>
  <c r="D111" i="4"/>
  <c r="C112" i="4"/>
  <c r="D112" i="4"/>
  <c r="C113" i="4"/>
  <c r="D113" i="4"/>
  <c r="C114" i="4"/>
  <c r="D114" i="4"/>
  <c r="C115" i="4"/>
  <c r="D115" i="4"/>
  <c r="C116" i="4"/>
  <c r="D116" i="4"/>
  <c r="C117" i="4"/>
  <c r="D117" i="4"/>
  <c r="C118" i="4"/>
  <c r="D118" i="4"/>
  <c r="C119" i="4"/>
  <c r="D119" i="4"/>
  <c r="C120" i="4"/>
  <c r="D120" i="4"/>
  <c r="C121" i="4"/>
  <c r="D121" i="4"/>
  <c r="C122" i="4"/>
  <c r="D122" i="4"/>
  <c r="C123" i="4"/>
  <c r="D123" i="4"/>
  <c r="C124" i="4"/>
  <c r="D124" i="4"/>
  <c r="C125" i="4"/>
  <c r="D125" i="4"/>
  <c r="C126" i="4"/>
  <c r="D126" i="4"/>
  <c r="C127" i="4"/>
  <c r="D127" i="4"/>
  <c r="C128" i="4"/>
  <c r="D128" i="4"/>
  <c r="C129" i="4"/>
  <c r="D129" i="4"/>
  <c r="C130" i="4"/>
  <c r="D130" i="4"/>
  <c r="C131" i="4"/>
  <c r="D131" i="4"/>
  <c r="C132" i="4"/>
  <c r="D132" i="4"/>
  <c r="C133" i="4"/>
  <c r="D133" i="4"/>
  <c r="C134" i="4"/>
  <c r="D134" i="4"/>
  <c r="C135" i="4"/>
  <c r="D135" i="4"/>
  <c r="C136" i="4"/>
  <c r="D136" i="4"/>
  <c r="C137" i="4"/>
  <c r="D137" i="4"/>
  <c r="C138" i="4"/>
  <c r="D138" i="4"/>
  <c r="C139" i="4"/>
  <c r="D139" i="4"/>
  <c r="C140" i="4"/>
  <c r="D140" i="4"/>
  <c r="C141" i="4"/>
  <c r="D141" i="4"/>
  <c r="C142" i="4"/>
  <c r="D142" i="4"/>
  <c r="C143" i="4"/>
  <c r="D143" i="4"/>
  <c r="C144" i="4"/>
  <c r="D144" i="4"/>
  <c r="C145" i="4"/>
  <c r="D145" i="4"/>
  <c r="C146" i="4"/>
  <c r="D146" i="4"/>
  <c r="C147" i="4"/>
  <c r="D147" i="4"/>
  <c r="C148" i="4"/>
  <c r="D148" i="4"/>
  <c r="C149" i="4"/>
  <c r="D149" i="4"/>
  <c r="C150" i="4"/>
  <c r="D150" i="4"/>
  <c r="C151" i="4"/>
  <c r="D151" i="4"/>
  <c r="C152" i="4"/>
  <c r="D152" i="4"/>
  <c r="C153" i="4"/>
  <c r="D153" i="4"/>
  <c r="C154" i="4"/>
  <c r="D154" i="4"/>
  <c r="C155" i="4"/>
  <c r="D155" i="4"/>
  <c r="C156" i="4"/>
  <c r="D156" i="4"/>
  <c r="C157" i="4"/>
  <c r="D157" i="4"/>
  <c r="C158" i="4"/>
  <c r="D158" i="4"/>
  <c r="C159" i="4"/>
  <c r="D159" i="4"/>
  <c r="C160" i="4"/>
  <c r="D160" i="4"/>
  <c r="C161" i="4"/>
  <c r="D161" i="4"/>
  <c r="C162" i="4"/>
  <c r="D162" i="4"/>
  <c r="C163" i="4"/>
  <c r="D163" i="4"/>
  <c r="C164" i="4"/>
  <c r="D164" i="4"/>
  <c r="C165" i="4"/>
  <c r="D165" i="4"/>
  <c r="C166" i="4"/>
  <c r="D166" i="4"/>
  <c r="C167" i="4"/>
  <c r="D167" i="4"/>
  <c r="C168" i="4"/>
  <c r="D168" i="4"/>
  <c r="C169" i="4"/>
  <c r="D169" i="4"/>
  <c r="C170" i="4"/>
  <c r="D170" i="4"/>
  <c r="C171" i="4"/>
  <c r="D171" i="4"/>
  <c r="C172" i="4"/>
  <c r="D172" i="4"/>
  <c r="C173" i="4"/>
  <c r="D173" i="4"/>
  <c r="C174" i="4"/>
  <c r="D174" i="4"/>
  <c r="C175" i="4"/>
  <c r="D175" i="4"/>
  <c r="C176" i="4"/>
  <c r="D176" i="4"/>
  <c r="C177" i="4"/>
  <c r="D177" i="4"/>
  <c r="C178" i="4"/>
  <c r="D178" i="4"/>
  <c r="C179" i="4"/>
  <c r="D179" i="4"/>
  <c r="C180" i="4"/>
  <c r="D180" i="4"/>
  <c r="C181" i="4"/>
  <c r="D181" i="4"/>
  <c r="C182" i="4"/>
  <c r="D182" i="4"/>
  <c r="C183" i="4"/>
  <c r="D183" i="4"/>
  <c r="C184" i="4"/>
  <c r="D184" i="4"/>
  <c r="C185" i="4"/>
  <c r="D185" i="4"/>
  <c r="C186" i="4"/>
  <c r="D186" i="4"/>
  <c r="C187" i="4"/>
  <c r="D187" i="4"/>
  <c r="C188" i="4"/>
  <c r="D188" i="4"/>
  <c r="C189" i="4"/>
  <c r="D189" i="4"/>
  <c r="C190" i="4"/>
  <c r="D190" i="4"/>
  <c r="C191" i="4"/>
  <c r="D191" i="4"/>
  <c r="C192" i="4"/>
  <c r="D192" i="4"/>
  <c r="C193" i="4"/>
  <c r="D193" i="4"/>
  <c r="C194" i="4"/>
  <c r="D194" i="4"/>
  <c r="C195" i="4"/>
  <c r="D195" i="4"/>
  <c r="C196" i="4"/>
  <c r="D196" i="4"/>
  <c r="C197" i="4"/>
  <c r="D197" i="4"/>
  <c r="C198" i="4"/>
  <c r="D198" i="4"/>
  <c r="C199" i="4"/>
  <c r="D199" i="4"/>
  <c r="C200" i="4"/>
  <c r="D200" i="4"/>
  <c r="C201" i="4"/>
  <c r="D201" i="4"/>
  <c r="C202" i="4"/>
  <c r="D202" i="4"/>
  <c r="C203" i="4"/>
  <c r="D203" i="4"/>
  <c r="C204" i="4"/>
  <c r="D204" i="4"/>
  <c r="C205" i="4"/>
  <c r="D205" i="4"/>
  <c r="C91" i="4"/>
  <c r="D91" i="4"/>
  <c r="B197" i="4"/>
  <c r="B198" i="4"/>
  <c r="B199" i="4"/>
  <c r="B200" i="4"/>
  <c r="B201" i="4"/>
  <c r="B202" i="4"/>
  <c r="B203" i="4"/>
  <c r="B204" i="4"/>
  <c r="B205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91" i="4"/>
  <c r="C20" i="4"/>
  <c r="D20" i="4"/>
  <c r="B20" i="4"/>
  <c r="C65" i="1"/>
  <c r="D65" i="1"/>
  <c r="E65" i="1"/>
  <c r="C66" i="1"/>
  <c r="D66" i="1"/>
  <c r="E66" i="1"/>
  <c r="C67" i="1"/>
  <c r="D67" i="1"/>
  <c r="E67" i="1"/>
  <c r="C68" i="1"/>
  <c r="D68" i="1"/>
  <c r="E68" i="1"/>
  <c r="C69" i="1"/>
  <c r="D69" i="1"/>
  <c r="E69" i="1"/>
  <c r="C70" i="1"/>
  <c r="D70" i="1"/>
  <c r="E70" i="1"/>
  <c r="C71" i="1"/>
  <c r="D71" i="1"/>
  <c r="E71" i="1"/>
  <c r="C72" i="1"/>
  <c r="D72" i="1"/>
  <c r="E72" i="1"/>
  <c r="C73" i="1"/>
  <c r="D73" i="1"/>
  <c r="E73" i="1"/>
  <c r="C74" i="1"/>
  <c r="D74" i="1"/>
  <c r="E74" i="1"/>
  <c r="C75" i="1"/>
  <c r="D75" i="1"/>
  <c r="E75" i="1"/>
  <c r="C76" i="1"/>
  <c r="D76" i="1"/>
  <c r="E76" i="1"/>
  <c r="C77" i="1"/>
  <c r="D77" i="1"/>
  <c r="E77" i="1"/>
  <c r="D64" i="1"/>
  <c r="E64" i="1"/>
  <c r="C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64" i="1"/>
  <c r="G132" i="14"/>
  <c r="K19" i="13"/>
  <c r="I19" i="13"/>
  <c r="K18" i="13"/>
  <c r="I18" i="13"/>
  <c r="I17" i="13"/>
  <c r="K17" i="13" s="1"/>
  <c r="I16" i="13"/>
  <c r="K16" i="13" s="1"/>
  <c r="H15" i="13"/>
  <c r="I15" i="13" s="1"/>
  <c r="K15" i="13" s="1"/>
  <c r="I14" i="13"/>
  <c r="J14" i="13" s="1"/>
  <c r="K13" i="13"/>
  <c r="I13" i="13"/>
  <c r="I12" i="13"/>
  <c r="K11" i="13"/>
  <c r="I11" i="13"/>
  <c r="J10" i="13"/>
  <c r="I10" i="13"/>
  <c r="I9" i="13"/>
  <c r="I8" i="13"/>
  <c r="K8" i="13" s="1"/>
  <c r="H7" i="13"/>
  <c r="I7" i="13" s="1"/>
  <c r="K7" i="13" s="1"/>
  <c r="I6" i="13"/>
  <c r="K6" i="13" s="1"/>
  <c r="H6" i="13"/>
  <c r="B117" i="1"/>
  <c r="C117" i="1"/>
  <c r="D117" i="1"/>
  <c r="E117" i="1"/>
  <c r="C116" i="1"/>
  <c r="D116" i="1"/>
  <c r="E116" i="1"/>
  <c r="B116" i="1"/>
  <c r="C109" i="1"/>
  <c r="D109" i="1"/>
  <c r="E109" i="1"/>
  <c r="C110" i="1"/>
  <c r="D110" i="1"/>
  <c r="E110" i="1"/>
  <c r="C111" i="1"/>
  <c r="D111" i="1"/>
  <c r="E111" i="1"/>
  <c r="C112" i="1"/>
  <c r="D112" i="1"/>
  <c r="E112" i="1"/>
  <c r="C113" i="1"/>
  <c r="D113" i="1"/>
  <c r="E113" i="1"/>
  <c r="C114" i="1"/>
  <c r="D114" i="1"/>
  <c r="E114" i="1"/>
  <c r="C115" i="1"/>
  <c r="D115" i="1"/>
  <c r="E115" i="1"/>
  <c r="D108" i="1"/>
  <c r="E108" i="1"/>
  <c r="C108" i="1"/>
  <c r="B109" i="1"/>
  <c r="B110" i="1"/>
  <c r="B111" i="1"/>
  <c r="B112" i="1"/>
  <c r="B113" i="1"/>
  <c r="B114" i="1"/>
  <c r="B115" i="1"/>
  <c r="B108" i="1"/>
  <c r="E101" i="1"/>
  <c r="E102" i="1"/>
  <c r="E103" i="1"/>
  <c r="E104" i="1"/>
  <c r="E105" i="1"/>
  <c r="E106" i="1"/>
  <c r="E107" i="1"/>
  <c r="E100" i="1"/>
  <c r="D101" i="1"/>
  <c r="D102" i="1"/>
  <c r="D103" i="1"/>
  <c r="D104" i="1"/>
  <c r="D105" i="1"/>
  <c r="D106" i="1"/>
  <c r="D107" i="1"/>
  <c r="D100" i="1"/>
  <c r="C101" i="1"/>
  <c r="C102" i="1"/>
  <c r="C103" i="1"/>
  <c r="C104" i="1"/>
  <c r="C105" i="1"/>
  <c r="C106" i="1"/>
  <c r="C107" i="1"/>
  <c r="C100" i="1"/>
  <c r="B101" i="1"/>
  <c r="B102" i="1"/>
  <c r="B103" i="1"/>
  <c r="B104" i="1"/>
  <c r="B105" i="1"/>
  <c r="B106" i="1"/>
  <c r="B107" i="1"/>
  <c r="B100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E86" i="1"/>
  <c r="D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86" i="1"/>
  <c r="E79" i="1"/>
  <c r="E80" i="1"/>
  <c r="E81" i="1"/>
  <c r="E82" i="1"/>
  <c r="E83" i="1"/>
  <c r="E84" i="1"/>
  <c r="E85" i="1"/>
  <c r="E78" i="1"/>
  <c r="D79" i="1"/>
  <c r="D80" i="1"/>
  <c r="D81" i="1"/>
  <c r="D82" i="1"/>
  <c r="D83" i="1"/>
  <c r="D84" i="1"/>
  <c r="D85" i="1"/>
  <c r="D78" i="1"/>
  <c r="C79" i="1"/>
  <c r="C80" i="1"/>
  <c r="C81" i="1"/>
  <c r="C82" i="1"/>
  <c r="C83" i="1"/>
  <c r="C84" i="1"/>
  <c r="C85" i="1"/>
  <c r="C78" i="1"/>
  <c r="B79" i="1"/>
  <c r="B80" i="1"/>
  <c r="B81" i="1"/>
  <c r="B82" i="1"/>
  <c r="B83" i="1"/>
  <c r="B84" i="1"/>
  <c r="B85" i="1"/>
  <c r="B78" i="1"/>
  <c r="I48" i="11"/>
  <c r="K48" i="11" s="1"/>
  <c r="K47" i="11"/>
  <c r="J45" i="11"/>
  <c r="I44" i="11"/>
  <c r="K44" i="11" s="1"/>
  <c r="H44" i="11"/>
  <c r="G44" i="11"/>
  <c r="F44" i="11"/>
  <c r="K43" i="11"/>
  <c r="K42" i="11"/>
  <c r="K41" i="11"/>
  <c r="K40" i="11"/>
  <c r="K39" i="11"/>
  <c r="K38" i="11"/>
  <c r="K36" i="11"/>
  <c r="K35" i="11"/>
  <c r="J34" i="11"/>
  <c r="K33" i="11"/>
  <c r="K32" i="11"/>
  <c r="J31" i="11"/>
  <c r="K30" i="11"/>
  <c r="K29" i="11"/>
  <c r="I28" i="11"/>
  <c r="K28" i="11" s="1"/>
  <c r="H28" i="11"/>
  <c r="G28" i="11"/>
  <c r="F28" i="11"/>
  <c r="I27" i="11"/>
  <c r="K27" i="11" s="1"/>
  <c r="H27" i="11"/>
  <c r="G27" i="11"/>
  <c r="F27" i="11"/>
  <c r="J26" i="11"/>
  <c r="I26" i="11"/>
  <c r="K26" i="11" s="1"/>
  <c r="F26" i="11"/>
  <c r="K25" i="11"/>
  <c r="K24" i="11"/>
  <c r="K23" i="11"/>
  <c r="K21" i="11"/>
  <c r="J20" i="11"/>
  <c r="J19" i="11"/>
  <c r="K18" i="11"/>
  <c r="K17" i="11"/>
  <c r="I16" i="11"/>
  <c r="K16" i="11" s="1"/>
  <c r="G16" i="11"/>
  <c r="F16" i="11"/>
  <c r="K15" i="11"/>
  <c r="K14" i="11"/>
  <c r="J12" i="11"/>
  <c r="K10" i="11"/>
  <c r="K9" i="11"/>
  <c r="K8" i="11"/>
  <c r="J7" i="11"/>
  <c r="J6" i="11"/>
  <c r="K5" i="11"/>
  <c r="C14" i="10" l="1"/>
  <c r="D88" i="4" l="1"/>
  <c r="D89" i="4"/>
  <c r="D90" i="4"/>
  <c r="D87" i="4"/>
  <c r="C88" i="4"/>
  <c r="C89" i="4"/>
  <c r="C90" i="4"/>
  <c r="C87" i="4"/>
  <c r="B88" i="4"/>
  <c r="B89" i="4"/>
  <c r="B90" i="4"/>
  <c r="B87" i="4"/>
  <c r="D19" i="4"/>
  <c r="D18" i="4"/>
  <c r="C19" i="4"/>
  <c r="C18" i="4"/>
  <c r="B19" i="4"/>
  <c r="B18" i="4"/>
  <c r="E55" i="1"/>
  <c r="E56" i="1"/>
  <c r="E57" i="1"/>
  <c r="E58" i="1"/>
  <c r="E59" i="1"/>
  <c r="E60" i="1"/>
  <c r="E61" i="1"/>
  <c r="E62" i="1"/>
  <c r="E63" i="1"/>
  <c r="E54" i="1"/>
  <c r="D55" i="1"/>
  <c r="D56" i="1"/>
  <c r="D57" i="1"/>
  <c r="D58" i="1"/>
  <c r="D59" i="1"/>
  <c r="D60" i="1"/>
  <c r="D61" i="1"/>
  <c r="D62" i="1"/>
  <c r="D63" i="1"/>
  <c r="D54" i="1"/>
  <c r="C55" i="1"/>
  <c r="C56" i="1"/>
  <c r="C57" i="1"/>
  <c r="C58" i="1"/>
  <c r="C59" i="1"/>
  <c r="C60" i="1"/>
  <c r="C61" i="1"/>
  <c r="C62" i="1"/>
  <c r="C63" i="1"/>
  <c r="C54" i="1"/>
  <c r="B62" i="1"/>
  <c r="B63" i="1"/>
  <c r="B55" i="1"/>
  <c r="B56" i="1"/>
  <c r="B57" i="1"/>
  <c r="B58" i="1"/>
  <c r="B59" i="1"/>
  <c r="B60" i="1"/>
  <c r="B61" i="1"/>
  <c r="B54" i="1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43" i="4"/>
  <c r="C11" i="4"/>
  <c r="C12" i="4"/>
  <c r="C13" i="4"/>
  <c r="C14" i="4"/>
  <c r="C15" i="4"/>
  <c r="C16" i="4"/>
  <c r="C17" i="4"/>
  <c r="C10" i="4"/>
  <c r="B11" i="4"/>
  <c r="B12" i="4"/>
  <c r="B13" i="4"/>
  <c r="B14" i="4"/>
  <c r="B15" i="4"/>
  <c r="B16" i="4"/>
  <c r="B17" i="4"/>
  <c r="B10" i="4"/>
  <c r="E45" i="1"/>
  <c r="E46" i="1"/>
  <c r="E47" i="1"/>
  <c r="E48" i="1"/>
  <c r="E49" i="1"/>
  <c r="E50" i="1"/>
  <c r="E51" i="1"/>
  <c r="E52" i="1"/>
  <c r="E53" i="1"/>
  <c r="E44" i="1"/>
  <c r="E39" i="1"/>
  <c r="E40" i="1"/>
  <c r="E41" i="1"/>
  <c r="E42" i="1"/>
  <c r="E43" i="1"/>
  <c r="E38" i="1"/>
  <c r="D48" i="1"/>
  <c r="D49" i="1"/>
  <c r="D50" i="1"/>
  <c r="D51" i="1"/>
  <c r="D52" i="1"/>
  <c r="D53" i="1"/>
  <c r="D45" i="1"/>
  <c r="D46" i="1"/>
  <c r="D47" i="1"/>
  <c r="D44" i="1"/>
  <c r="C45" i="1"/>
  <c r="C46" i="1"/>
  <c r="C47" i="1"/>
  <c r="C48" i="1"/>
  <c r="C49" i="1"/>
  <c r="C50" i="1"/>
  <c r="C51" i="1"/>
  <c r="C52" i="1"/>
  <c r="C53" i="1"/>
  <c r="C44" i="1"/>
  <c r="B45" i="1"/>
  <c r="B46" i="1"/>
  <c r="B47" i="1"/>
  <c r="B48" i="1"/>
  <c r="B49" i="1"/>
  <c r="B50" i="1"/>
  <c r="B51" i="1"/>
  <c r="B52" i="1"/>
  <c r="B53" i="1"/>
  <c r="B44" i="1"/>
  <c r="D43" i="1"/>
  <c r="D42" i="1"/>
  <c r="D39" i="1"/>
  <c r="D40" i="1"/>
  <c r="D41" i="1"/>
  <c r="D38" i="1"/>
  <c r="C39" i="1"/>
  <c r="C40" i="1"/>
  <c r="C41" i="1"/>
  <c r="C42" i="1"/>
  <c r="C43" i="1"/>
  <c r="C38" i="1"/>
  <c r="B39" i="1"/>
  <c r="B40" i="1"/>
  <c r="B41" i="1"/>
  <c r="B42" i="1"/>
  <c r="B43" i="1"/>
  <c r="B38" i="1"/>
  <c r="D42" i="4"/>
  <c r="D41" i="4"/>
  <c r="C42" i="4"/>
  <c r="C41" i="4"/>
  <c r="B42" i="4"/>
  <c r="B41" i="4"/>
  <c r="D7" i="4"/>
  <c r="D8" i="4"/>
  <c r="D9" i="4"/>
  <c r="D6" i="4"/>
  <c r="C7" i="4"/>
  <c r="C8" i="4"/>
  <c r="C9" i="4"/>
  <c r="C6" i="4"/>
  <c r="B7" i="4"/>
  <c r="B8" i="4"/>
  <c r="B9" i="4"/>
  <c r="B6" i="4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23" i="1"/>
  <c r="B24" i="1"/>
  <c r="B25" i="1"/>
  <c r="B27" i="1"/>
  <c r="B28" i="1"/>
  <c r="B29" i="1"/>
  <c r="B30" i="1"/>
  <c r="B31" i="1"/>
  <c r="B32" i="1"/>
  <c r="B33" i="1"/>
  <c r="B34" i="1"/>
  <c r="B35" i="1"/>
  <c r="B36" i="1"/>
  <c r="B37" i="1"/>
  <c r="B23" i="1"/>
  <c r="M4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D10" i="1"/>
  <c r="D9" i="1"/>
  <c r="D6" i="1"/>
  <c r="D7" i="1"/>
  <c r="D8" i="1"/>
  <c r="D11" i="1"/>
  <c r="D12" i="1"/>
  <c r="D13" i="1"/>
  <c r="D14" i="1"/>
  <c r="D15" i="1"/>
  <c r="D16" i="1"/>
  <c r="D17" i="1"/>
  <c r="D18" i="1"/>
  <c r="D19" i="1"/>
  <c r="D20" i="1"/>
  <c r="D21" i="1"/>
  <c r="D22" i="1"/>
  <c r="D5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5" i="1"/>
  <c r="A5" i="1"/>
  <c r="I22" i="5"/>
  <c r="D207" i="4"/>
  <c r="D210" i="4"/>
  <c r="D208" i="4"/>
  <c r="D209" i="4"/>
  <c r="D206" i="4"/>
  <c r="C207" i="4"/>
  <c r="C210" i="4"/>
  <c r="C208" i="4"/>
  <c r="C209" i="4"/>
  <c r="C206" i="4"/>
  <c r="B209" i="4"/>
  <c r="B207" i="4"/>
  <c r="B210" i="4"/>
  <c r="B208" i="4"/>
  <c r="B206" i="4"/>
  <c r="A207" i="4"/>
  <c r="A210" i="4"/>
  <c r="A208" i="4"/>
  <c r="A206" i="4"/>
  <c r="D33" i="4"/>
  <c r="D32" i="4"/>
  <c r="C33" i="4"/>
  <c r="C32" i="4"/>
  <c r="D27" i="4"/>
  <c r="D28" i="4"/>
  <c r="D29" i="4"/>
  <c r="D30" i="4"/>
  <c r="D31" i="4"/>
  <c r="D26" i="4"/>
  <c r="C27" i="4"/>
  <c r="C28" i="4"/>
  <c r="C29" i="4"/>
  <c r="C30" i="4"/>
  <c r="C31" i="4"/>
  <c r="C26" i="4"/>
  <c r="D22" i="4"/>
  <c r="D23" i="4"/>
  <c r="D24" i="4"/>
  <c r="D25" i="4"/>
  <c r="D21" i="4"/>
  <c r="C22" i="4"/>
  <c r="C23" i="4"/>
  <c r="C24" i="4"/>
  <c r="C25" i="4"/>
  <c r="C21" i="4"/>
  <c r="G41" i="9"/>
  <c r="G40" i="9"/>
  <c r="G38" i="9"/>
  <c r="I14" i="9"/>
  <c r="K14" i="9" s="1"/>
  <c r="I13" i="9"/>
  <c r="K13" i="9" s="1"/>
  <c r="I12" i="9"/>
  <c r="K12" i="9" s="1"/>
  <c r="I11" i="9"/>
  <c r="I10" i="9"/>
  <c r="I9" i="9"/>
  <c r="K9" i="9" s="1"/>
  <c r="K8" i="9"/>
  <c r="I8" i="9"/>
  <c r="N7" i="9"/>
  <c r="I7" i="9"/>
  <c r="N6" i="9"/>
  <c r="H6" i="9"/>
  <c r="G6" i="9"/>
  <c r="I6" i="9" s="1"/>
  <c r="I5" i="9"/>
  <c r="N53" i="8" l="1"/>
  <c r="H53" i="8" s="1"/>
  <c r="N52" i="8"/>
  <c r="H52" i="8" s="1"/>
  <c r="N51" i="8"/>
  <c r="H51" i="8" s="1"/>
  <c r="N50" i="8"/>
  <c r="H50" i="8"/>
  <c r="N49" i="8"/>
  <c r="H49" i="8"/>
  <c r="N48" i="8"/>
  <c r="H48" i="8" s="1"/>
  <c r="N47" i="8"/>
  <c r="H47" i="8"/>
  <c r="N46" i="8"/>
  <c r="H46" i="8" s="1"/>
  <c r="G15" i="7"/>
  <c r="G14" i="7"/>
  <c r="H9" i="7"/>
  <c r="H8" i="7"/>
  <c r="H7" i="7"/>
  <c r="K19" i="6"/>
  <c r="I19" i="6"/>
  <c r="I18" i="6"/>
  <c r="K18" i="6" s="1"/>
  <c r="I17" i="6"/>
  <c r="K17" i="6" s="1"/>
  <c r="I16" i="6"/>
  <c r="K16" i="6" s="1"/>
  <c r="I15" i="6"/>
  <c r="K15" i="6" s="1"/>
  <c r="I14" i="6"/>
  <c r="K14" i="6" s="1"/>
  <c r="I13" i="6"/>
  <c r="K13" i="6" s="1"/>
  <c r="K12" i="6"/>
  <c r="I12" i="6"/>
  <c r="I11" i="6"/>
  <c r="K11" i="6" s="1"/>
  <c r="I10" i="6"/>
  <c r="K10" i="6" s="1"/>
  <c r="I9" i="6"/>
  <c r="K9" i="6" s="1"/>
  <c r="I8" i="6"/>
  <c r="K8" i="6" s="1"/>
  <c r="I7" i="6"/>
  <c r="K7" i="6" s="1"/>
  <c r="I6" i="6"/>
  <c r="K6" i="6" s="1"/>
  <c r="K5" i="6"/>
  <c r="I5" i="6"/>
  <c r="C54" i="5" l="1"/>
  <c r="K22" i="5"/>
  <c r="I21" i="5"/>
  <c r="K21" i="5" s="1"/>
  <c r="I20" i="5"/>
  <c r="K20" i="5" s="1"/>
  <c r="I19" i="5"/>
  <c r="K19" i="5" s="1"/>
  <c r="K18" i="5"/>
  <c r="I18" i="5"/>
  <c r="K17" i="5"/>
  <c r="I17" i="5"/>
  <c r="K16" i="5"/>
  <c r="I16" i="5"/>
  <c r="I15" i="5"/>
  <c r="K15" i="5" s="1"/>
  <c r="I14" i="5"/>
  <c r="K14" i="5" s="1"/>
  <c r="I13" i="5"/>
  <c r="K13" i="5" s="1"/>
  <c r="I12" i="5"/>
  <c r="K12" i="5" s="1"/>
  <c r="K11" i="5"/>
  <c r="I11" i="5"/>
  <c r="K10" i="5"/>
  <c r="I10" i="5"/>
  <c r="K9" i="5"/>
  <c r="I9" i="5"/>
  <c r="I8" i="5"/>
  <c r="K8" i="5" s="1"/>
  <c r="I7" i="5"/>
  <c r="K7" i="5" s="1"/>
  <c r="I6" i="5"/>
  <c r="K6" i="5" s="1"/>
  <c r="I5" i="5"/>
  <c r="K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tc={6ED0FA72-80D0-4A8A-B2C0-7F043C19F619}</author>
    <author>tc={1877ECCD-C081-404B-95D8-337E2ABBAE90}</author>
    <author>tc={12FD27CF-C703-47D1-BEB8-9B9B116C67AA}</author>
    <author>tc={E16728AF-E49B-4843-9F7E-337C7A80DC2A}</author>
    <author>tc={A4726803-5F5D-4860-B159-226FCD5D0283}</author>
    <author>tc={9E6CA5E6-0D9E-4DAA-9267-966674E20055}</author>
    <author>tc={458B3220-08F6-44DF-9EF0-47C87C2D4509}</author>
  </authors>
  <commentList>
    <comment ref="F23" authorId="0" shapeId="0" xr:uid="{6ED0FA72-80D0-4A8A-B2C0-7F043C19F619}">
      <text>
        <t>[Threaded comment]
Your version of Excel allows you to read this threaded comment; however, any edits to it will get removed if the file is opened in a newer version of Excel. Learn more: https://go.microsoft.com/fwlink/?linkid=870924
Comment:
    GSH Opening balances are as at March</t>
      </text>
    </comment>
    <comment ref="F54" authorId="1" shapeId="0" xr:uid="{1877ECCD-C081-404B-95D8-337E2ABBAE90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Travels balances as at 22/04/2026</t>
      </text>
    </comment>
    <comment ref="I54" authorId="2" shapeId="0" xr:uid="{12FD27CF-C703-47D1-BEB8-9B9B116C67AA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Travels balances are as at 04/05/2026</t>
      </text>
    </comment>
    <comment ref="K54" authorId="3" shapeId="0" xr:uid="{E16728AF-E49B-4843-9F7E-337C7A80DC2A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Travels balances are as at 04/05/2026</t>
      </text>
    </comment>
    <comment ref="K64" authorId="4" shapeId="0" xr:uid="{A4726803-5F5D-4860-B159-226FCD5D0283}">
      <text>
        <t>[Threaded comment]
Your version of Excel allows you to read this threaded comment; however, any edits to it will get removed if the file is opened in a newer version of Excel. Learn more: https://go.microsoft.com/fwlink/?linkid=870924
Comment:
    GS Solutions balances as at 30.04.2026</t>
      </text>
    </comment>
    <comment ref="F78" authorId="5" shapeId="0" xr:uid="{9E6CA5E6-0D9E-4DAA-9267-966674E20055}">
      <text>
        <t>[Threaded comment]
Your version of Excel allows you to read this threaded comment; however, any edits to it will get removed if the file is opened in a newer version of Excel. Learn more: https://go.microsoft.com/fwlink/?linkid=870924
Comment:
    Citrus balances as at April 2026</t>
      </text>
    </comment>
    <comment ref="K78" authorId="6" shapeId="0" xr:uid="{458B3220-08F6-44DF-9EF0-47C87C2D45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Citrus balances as at April 2026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tc={C757E061-B81F-47EA-9149-11516E19F2C9}</author>
    <author>tc={01AF7156-0A0F-4CF3-A452-C1FDC87B7939}</author>
    <author>tc={ADF7536C-B2D8-4998-AFFF-47BCEFEDF358}</author>
    <author>tc={4290F312-CF10-45B6-A524-C9B0A4AB3B1C}</author>
    <author>tc={0BBB21B9-881D-44BE-A1FA-7870B7955481}</author>
    <author>tc={D26AE4D3-88BA-4A43-9F3F-148A71D572CC}</author>
    <author>tc={EF226F22-EEB5-4635-AA41-783AC67FEDCF}</author>
  </authors>
  <commentList>
    <comment ref="I6" authorId="0" shapeId="0" xr:uid="{C757E061-B81F-47EA-9149-11516E19F2C9}">
      <text>
        <t>[Threaded comment]
Your version of Excel allows you to read this threaded comment; however, any edits to it will get removed if the file is opened in a newer version of Excel. Learn more: https://go.microsoft.com/fwlink/?linkid=870924
Comment:
    GSH balances are as at 08th May’26</t>
      </text>
    </comment>
    <comment ref="I10" authorId="1" shapeId="0" xr:uid="{01AF7156-0A0F-4CF3-A452-C1FDC87B79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GSTeas balances are as at 31st March’26
</t>
      </text>
    </comment>
    <comment ref="I18" authorId="2" shapeId="0" xr:uid="{ADF7536C-B2D8-4998-AFFF-47BCEFEDF358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Travels balances as at 04/05/2026</t>
      </text>
    </comment>
    <comment ref="L41" authorId="3" shapeId="0" xr:uid="{4290F312-CF10-45B6-A524-C9B0A4AB3B1C}">
      <text>
        <t>[Threaded comment]
Your version of Excel allows you to read this threaded comment; however, any edits to it will get removed if the file is opened in a newer version of Excel. Learn more: https://go.microsoft.com/fwlink/?linkid=870924
Comment:
    GSH balances are as at 08th May’26</t>
      </text>
    </comment>
    <comment ref="L43" authorId="4" shapeId="0" xr:uid="{0BBB21B9-881D-44BE-A1FA-7870B7955481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Teas balances are as at 31st March 2026</t>
      </text>
    </comment>
    <comment ref="L87" authorId="5" shapeId="0" xr:uid="{D26AE4D3-88BA-4A43-9F3F-148A71D572CC}">
      <text>
        <t>[Threaded comment]
Your version of Excel allows you to read this threaded comment; however, any edits to it will get removed if the file is opened in a newer version of Excel. Learn more: https://go.microsoft.com/fwlink/?linkid=870924
Comment:
    GS Travels balances as at 04/05/2026</t>
      </text>
    </comment>
    <comment ref="L91" authorId="6" shapeId="0" xr:uid="{EF226F22-EEB5-4635-AA41-783AC67FEDCF}">
      <text>
        <t>[Threaded comment]
Your version of Excel allows you to read this threaded comment; however, any edits to it will get removed if the file is opened in a newer version of Excel. Learn more: https://go.microsoft.com/fwlink/?linkid=870924
Comment:
    GS Solutions balances as at 07th May 2026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tc={0DAACF00-42B6-4FCE-986A-26B5091AA47F}</author>
  </authors>
  <commentList>
    <comment ref="C10" authorId="0" shapeId="0" xr:uid="{0DAACF00-42B6-4FCE-986A-26B5091AA47F}">
      <text>
        <t>[Threaded comment]
Your version of Excel allows you to read this threaded comment; however, any edits to it will get removed if the file is opened in a newer version of Excel. Learn more: https://go.microsoft.com/fwlink/?linkid=870924
Comment:
    USD 400,000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tc={FFC9A290-CC20-46EF-8C58-95273FBD6E60}</author>
  </authors>
  <commentList>
    <comment ref="C53" authorId="0" shapeId="0" xr:uid="{FFC9A290-CC20-46EF-8C58-95273FBD6E60}">
      <text>
        <t>[Threaded comment]
Your version of Excel allows you to read this threaded comment; however, any edits to it will get removed if the file is opened in a newer version of Excel. Learn more: https://go.microsoft.com/fwlink/?linkid=870924
Comment:
    400,000 USD</t>
      </text>
    </comment>
  </commentList>
</comments>
</file>

<file path=xl/sharedStrings.xml><?xml version="1.0" encoding="utf-8"?>
<sst xmlns="http://schemas.openxmlformats.org/spreadsheetml/2006/main" count="1849" uniqueCount="411">
  <si>
    <t xml:space="preserve">1. Daily Group Cash Position Report - </t>
  </si>
  <si>
    <r>
      <t>Purpose:</t>
    </r>
    <r>
      <rPr>
        <sz val="12"/>
        <color theme="1"/>
        <rFont val="Aptos"/>
        <family val="2"/>
      </rPr>
      <t xml:space="preserve"> Immediate visibility of available liquidity</t>
    </r>
  </si>
  <si>
    <t>Entity</t>
  </si>
  <si>
    <t>Bank</t>
  </si>
  <si>
    <t>Account type</t>
  </si>
  <si>
    <t>Account #</t>
  </si>
  <si>
    <t>Currency</t>
  </si>
  <si>
    <t>Inflows</t>
  </si>
  <si>
    <t>Outflows</t>
  </si>
  <si>
    <t>Closing Balance</t>
  </si>
  <si>
    <t>Restricted Cash</t>
  </si>
  <si>
    <t>2. Rolling 13-Week Cash Flow Forecast (Core Treasury Tool)</t>
  </si>
  <si>
    <r>
      <t>Purpose:</t>
    </r>
    <r>
      <rPr>
        <sz val="12"/>
        <color theme="1"/>
        <rFont val="Aptos"/>
        <family val="2"/>
      </rPr>
      <t xml:space="preserve"> Short-term liquidity planning – </t>
    </r>
    <r>
      <rPr>
        <sz val="12"/>
        <color rgb="FFEE0000"/>
        <rFont val="Aptos"/>
        <family val="2"/>
      </rPr>
      <t>03 months</t>
    </r>
  </si>
  <si>
    <t>(a)</t>
  </si>
  <si>
    <t>(b)</t>
  </si>
  <si>
    <t>(c)</t>
  </si>
  <si>
    <t>(b-c)=d</t>
  </si>
  <si>
    <t>(e)</t>
  </si>
  <si>
    <t>(f)</t>
  </si>
  <si>
    <t>(g)</t>
  </si>
  <si>
    <t>(d-e-f-g)=h</t>
  </si>
  <si>
    <t>(a+h)</t>
  </si>
  <si>
    <t>Week</t>
  </si>
  <si>
    <t>Opening Cash</t>
  </si>
  <si>
    <t>Operating Inflows</t>
  </si>
  <si>
    <t>Operating Outflows</t>
  </si>
  <si>
    <t>Net Operating</t>
  </si>
  <si>
    <t>Capex</t>
  </si>
  <si>
    <t>Debt Service</t>
  </si>
  <si>
    <t>Other</t>
  </si>
  <si>
    <t>Net Cash Flow</t>
  </si>
  <si>
    <t>Closing Cash</t>
  </si>
  <si>
    <t>W1</t>
  </si>
  <si>
    <t>3. GS Group loan _ deposit portfolio</t>
  </si>
  <si>
    <t>3.1 Long Term Loan</t>
  </si>
  <si>
    <t>Company</t>
  </si>
  <si>
    <t>Loan type</t>
  </si>
  <si>
    <t>Tenor</t>
  </si>
  <si>
    <t>Facility amount</t>
  </si>
  <si>
    <t>Initially granted date</t>
  </si>
  <si>
    <t>Current Interest rate</t>
  </si>
  <si>
    <t>Remaining Tenor</t>
  </si>
  <si>
    <t>Outstanding amount as at 31 Jan 2026</t>
  </si>
  <si>
    <t>3.2 Working Capital loan</t>
  </si>
  <si>
    <t>Facility type</t>
  </si>
  <si>
    <t>Facility amount Rs./FCY</t>
  </si>
  <si>
    <t>Rate</t>
  </si>
  <si>
    <t>Outstanding amount as at 31 Jan 2026 Rs./FCY</t>
  </si>
  <si>
    <t>3.3 Fixed Deposit/Other Deposits</t>
  </si>
  <si>
    <t>Bank/Institute</t>
  </si>
  <si>
    <t>Amount Rs./FCY</t>
  </si>
  <si>
    <t>Commencement date</t>
  </si>
  <si>
    <t>Maturity date</t>
  </si>
  <si>
    <t>Pledged details (if any)</t>
  </si>
  <si>
    <t xml:space="preserve">Initially granted / Restructured date </t>
  </si>
  <si>
    <t>Outstanding amount as at 30 Apr 2026</t>
  </si>
  <si>
    <t>Restructured Amount</t>
  </si>
  <si>
    <t>Waskaduwa Beach Resort PLC</t>
  </si>
  <si>
    <t>Sampath</t>
  </si>
  <si>
    <t>Term Loan</t>
  </si>
  <si>
    <t>96 Months</t>
  </si>
  <si>
    <t>AWPLR + 1%</t>
  </si>
  <si>
    <t>87 Months</t>
  </si>
  <si>
    <t>Moratorium Loan</t>
  </si>
  <si>
    <t>40 Months</t>
  </si>
  <si>
    <t>31 Months</t>
  </si>
  <si>
    <t>94 Months</t>
  </si>
  <si>
    <t>Hikkaduwa Beach Resort PLC</t>
  </si>
  <si>
    <t>95 Months</t>
  </si>
  <si>
    <t>35 Months</t>
  </si>
  <si>
    <t>27 Months</t>
  </si>
  <si>
    <t>PABC</t>
  </si>
  <si>
    <t>Short Term Loan</t>
  </si>
  <si>
    <t>60 Months</t>
  </si>
  <si>
    <t>AWPLR + 1.5%</t>
  </si>
  <si>
    <t>37 Months</t>
  </si>
  <si>
    <t>Citrus Silver Limited</t>
  </si>
  <si>
    <t>HNB</t>
  </si>
  <si>
    <t>AWPLR + 2%</t>
  </si>
  <si>
    <t>16 Months</t>
  </si>
  <si>
    <t>Short Term Revolving Loan</t>
  </si>
  <si>
    <t>4 Months</t>
  </si>
  <si>
    <t>On Demand</t>
  </si>
  <si>
    <t>Outstanding amount as at 30 Apr 2026 Rs./FCY</t>
  </si>
  <si>
    <t>POD</t>
  </si>
  <si>
    <t>Citrus Leisure PLC</t>
  </si>
  <si>
    <t>3 months</t>
  </si>
  <si>
    <t>Opening Balance - May</t>
  </si>
  <si>
    <t>Available Cash - Apr</t>
  </si>
  <si>
    <t>USD closing Balance</t>
  </si>
  <si>
    <t>George Steuart Insurance Brokers (Pvt) Ltd</t>
  </si>
  <si>
    <t xml:space="preserve">Cargills </t>
  </si>
  <si>
    <t>Current</t>
  </si>
  <si>
    <t>LKR</t>
  </si>
  <si>
    <t>Higher Saving</t>
  </si>
  <si>
    <t>0011 0700 6091</t>
  </si>
  <si>
    <t>Saving</t>
  </si>
  <si>
    <t>0011 0700 9604</t>
  </si>
  <si>
    <t>NDB</t>
  </si>
  <si>
    <t>USD</t>
  </si>
  <si>
    <t>BOC</t>
  </si>
  <si>
    <t>5034 2000 3627</t>
  </si>
  <si>
    <t xml:space="preserve"> 0034 1001 2218</t>
  </si>
  <si>
    <t>Seylan</t>
  </si>
  <si>
    <t>0860 12728996 001</t>
  </si>
  <si>
    <t>0860 12728996 002</t>
  </si>
  <si>
    <t xml:space="preserve"> 0860 12728996 066</t>
  </si>
  <si>
    <t>Money Market</t>
  </si>
  <si>
    <t xml:space="preserve"> 0860 12728996 123</t>
  </si>
  <si>
    <t>Union</t>
  </si>
  <si>
    <t>0120 2010 0005 6523</t>
  </si>
  <si>
    <t>0120 1010 0001 6836</t>
  </si>
  <si>
    <t>Commercial</t>
  </si>
  <si>
    <t>(1)-1020012908</t>
  </si>
  <si>
    <t>19.09.2024</t>
  </si>
  <si>
    <t>28.02.2026</t>
  </si>
  <si>
    <t>One Month</t>
  </si>
  <si>
    <t>No</t>
  </si>
  <si>
    <t>Cargills Bank</t>
  </si>
  <si>
    <t>21.11.2023</t>
  </si>
  <si>
    <t>20.02.2026</t>
  </si>
  <si>
    <t>03 Months</t>
  </si>
  <si>
    <t>16.05.2024</t>
  </si>
  <si>
    <t>15.02.2026</t>
  </si>
  <si>
    <t>09.04.2024</t>
  </si>
  <si>
    <t>08.04.2026</t>
  </si>
  <si>
    <t>14.03.2024</t>
  </si>
  <si>
    <t>13.03.2026</t>
  </si>
  <si>
    <t>Seylan Bank (LKR)</t>
  </si>
  <si>
    <t>24.05.2017</t>
  </si>
  <si>
    <t>23.02.2026</t>
  </si>
  <si>
    <t>Seylan Bank (USD)</t>
  </si>
  <si>
    <t>13.10.2025</t>
  </si>
  <si>
    <t>11.04.2026</t>
  </si>
  <si>
    <t>06 Months</t>
  </si>
  <si>
    <t>Note</t>
  </si>
  <si>
    <t>Seylan USD 200,000 has been renewed at 5.25%</t>
  </si>
  <si>
    <t>Opening Balance - March</t>
  </si>
  <si>
    <t>Available Cash - March</t>
  </si>
  <si>
    <t>GSH</t>
  </si>
  <si>
    <t>1010 0002 5071</t>
  </si>
  <si>
    <t>1065-9000-6001</t>
  </si>
  <si>
    <t>102072013996</t>
  </si>
  <si>
    <t>101014573128</t>
  </si>
  <si>
    <t>0080-13334985-001</t>
  </si>
  <si>
    <t>0860-13334985002</t>
  </si>
  <si>
    <t>0091-1000-7245</t>
  </si>
  <si>
    <t>0009- 3000 -0027</t>
  </si>
  <si>
    <t>0018 1000 4351</t>
  </si>
  <si>
    <t>0020 1000 3748</t>
  </si>
  <si>
    <t>4100191976807</t>
  </si>
  <si>
    <t>MMS</t>
  </si>
  <si>
    <t>GS Group Loan / deposit Portfolio</t>
  </si>
  <si>
    <t>Long Term Loan</t>
  </si>
  <si>
    <t>Remaining Tenor (Months)</t>
  </si>
  <si>
    <t>Outstanding amount as at  08th May 2026</t>
  </si>
  <si>
    <t>Capex funding</t>
  </si>
  <si>
    <t>48 Months</t>
  </si>
  <si>
    <t>Vehicle</t>
  </si>
  <si>
    <t>36 Months</t>
  </si>
  <si>
    <t>84 months - 06 months</t>
  </si>
  <si>
    <t>84 Months with 03 months Grace Period</t>
  </si>
  <si>
    <t>Working Capital loan</t>
  </si>
  <si>
    <t>Outstanding amount as at 08th May 2026</t>
  </si>
  <si>
    <t>Money Market Loan</t>
  </si>
  <si>
    <t>3 Months Revolving</t>
  </si>
  <si>
    <t>Fixed Deposit/Other Deposits</t>
  </si>
  <si>
    <t xml:space="preserve">             20,594,942.53 </t>
  </si>
  <si>
    <t>8th Nov 2025</t>
  </si>
  <si>
    <t>6 Months</t>
  </si>
  <si>
    <t xml:space="preserve">             58,344,435.83 </t>
  </si>
  <si>
    <t>9th May 2026</t>
  </si>
  <si>
    <t>3 Months</t>
  </si>
  <si>
    <t xml:space="preserve">             10,189,428.30 </t>
  </si>
  <si>
    <t>11th July 2026</t>
  </si>
  <si>
    <t xml:space="preserve">             16,747,949.66 </t>
  </si>
  <si>
    <t>19th May 2026</t>
  </si>
  <si>
    <t>DFCC</t>
  </si>
  <si>
    <t xml:space="preserve">             15,323,509.93 </t>
  </si>
  <si>
    <t>9th Aug 2026</t>
  </si>
  <si>
    <t xml:space="preserve">             14,704,193.84 </t>
  </si>
  <si>
    <t>8th June 2026</t>
  </si>
  <si>
    <t>Pledged to OD</t>
  </si>
  <si>
    <t xml:space="preserve">             35,407,351.49 </t>
  </si>
  <si>
    <t>24th May 2026</t>
  </si>
  <si>
    <t xml:space="preserve">          300,000,000.00 </t>
  </si>
  <si>
    <t>04th June 2026</t>
  </si>
  <si>
    <t xml:space="preserve">             12,095,136.01 </t>
  </si>
  <si>
    <t>6th Aug 2025</t>
  </si>
  <si>
    <t xml:space="preserve">             14,003,122.15 </t>
  </si>
  <si>
    <t>21st June 2026</t>
  </si>
  <si>
    <t xml:space="preserve">             15,919,664.30 </t>
  </si>
  <si>
    <t>30th June 2026</t>
  </si>
  <si>
    <t xml:space="preserve">             17,568,360.37 </t>
  </si>
  <si>
    <t>1st Sep 2026</t>
  </si>
  <si>
    <t xml:space="preserve">                3,114,431.27 </t>
  </si>
  <si>
    <t>8th July 2026</t>
  </si>
  <si>
    <t>NDB Wealth</t>
  </si>
  <si>
    <t xml:space="preserve">             30,158,687.59 </t>
  </si>
  <si>
    <t>-</t>
  </si>
  <si>
    <t>N/A</t>
  </si>
  <si>
    <r>
      <t>Purpose:</t>
    </r>
    <r>
      <rPr>
        <sz val="10"/>
        <color theme="1"/>
        <rFont val="Aptos"/>
        <family val="2"/>
      </rPr>
      <t xml:space="preserve"> Immediate visibility of available liquidity</t>
    </r>
  </si>
  <si>
    <t>Bank Balance as at 30/04/2026</t>
  </si>
  <si>
    <t xml:space="preserve"> Bank Balance as at 31/03/2026</t>
  </si>
  <si>
    <t>George Steuart Teas (Pvt) Ltd</t>
  </si>
  <si>
    <t>C/A</t>
  </si>
  <si>
    <t>BFCA</t>
  </si>
  <si>
    <t>BLA</t>
  </si>
  <si>
    <t>EURO</t>
  </si>
  <si>
    <t>Peoples</t>
  </si>
  <si>
    <t>Peoples Lian</t>
  </si>
  <si>
    <t xml:space="preserve">Seylan </t>
  </si>
  <si>
    <t>China Bank</t>
  </si>
  <si>
    <r>
      <t>Purpose:</t>
    </r>
    <r>
      <rPr>
        <sz val="10"/>
        <color theme="1"/>
        <rFont val="Aptos"/>
        <family val="2"/>
      </rPr>
      <t xml:space="preserve"> Short-term liquidity planning – </t>
    </r>
    <r>
      <rPr>
        <sz val="10"/>
        <color rgb="FFEE0000"/>
        <rFont val="Aptos"/>
        <family val="2"/>
      </rPr>
      <t>03 months</t>
    </r>
  </si>
  <si>
    <t>W2</t>
  </si>
  <si>
    <t>Outstanding amount as at 31 March 2026</t>
  </si>
  <si>
    <t>10 Y</t>
  </si>
  <si>
    <t>5 Y</t>
  </si>
  <si>
    <t>PB</t>
  </si>
  <si>
    <t>3 Y</t>
  </si>
  <si>
    <t>Outstanding amount as at 31 March 2026 Rs./FCY</t>
  </si>
  <si>
    <t>PCL USD</t>
  </si>
  <si>
    <t>90 D</t>
  </si>
  <si>
    <t xml:space="preserve">NDB </t>
  </si>
  <si>
    <t>PCL LKR</t>
  </si>
  <si>
    <t>120 D</t>
  </si>
  <si>
    <t xml:space="preserve">PB </t>
  </si>
  <si>
    <t xml:space="preserve">SEYLAN </t>
  </si>
  <si>
    <t>GS Teas</t>
  </si>
  <si>
    <t xml:space="preserve">HNB </t>
  </si>
  <si>
    <t>1 Y</t>
  </si>
  <si>
    <t>7.25% Appx</t>
  </si>
  <si>
    <r>
      <t xml:space="preserve">Opening Balance - </t>
    </r>
    <r>
      <rPr>
        <sz val="10"/>
        <color rgb="FFEE0000"/>
        <rFont val="Aptos"/>
        <family val="2"/>
      </rPr>
      <t>22/04/2026</t>
    </r>
  </si>
  <si>
    <r>
      <t xml:space="preserve">Closing Balance - </t>
    </r>
    <r>
      <rPr>
        <sz val="10"/>
        <color rgb="FFFF0000"/>
        <rFont val="Aptos"/>
        <family val="2"/>
      </rPr>
      <t>04/05/2026</t>
    </r>
  </si>
  <si>
    <r>
      <t xml:space="preserve">Available Cash - </t>
    </r>
    <r>
      <rPr>
        <sz val="10"/>
        <color rgb="FFFF0000"/>
        <rFont val="Aptos"/>
        <family val="2"/>
      </rPr>
      <t>04/05/2026</t>
    </r>
  </si>
  <si>
    <t>Interbank Fund Transfers</t>
  </si>
  <si>
    <t xml:space="preserve">George Steuart Travels Ltd </t>
  </si>
  <si>
    <t>71068290</t>
  </si>
  <si>
    <t>*</t>
  </si>
  <si>
    <t>Inflow</t>
  </si>
  <si>
    <t>Outflow</t>
  </si>
  <si>
    <t xml:space="preserve">NDB * </t>
  </si>
  <si>
    <t>101000234638</t>
  </si>
  <si>
    <t>Sampath **</t>
  </si>
  <si>
    <t>000930000574</t>
  </si>
  <si>
    <t>NTB</t>
  </si>
  <si>
    <t>000911000523</t>
  </si>
  <si>
    <t>9970101000004250</t>
  </si>
  <si>
    <t>148100110050706</t>
  </si>
  <si>
    <t>100020013810</t>
  </si>
  <si>
    <t>**</t>
  </si>
  <si>
    <t>1020012896</t>
  </si>
  <si>
    <t>SB-Islamic</t>
  </si>
  <si>
    <t>S/A</t>
  </si>
  <si>
    <t>106630000249</t>
  </si>
  <si>
    <t>500930004122</t>
  </si>
  <si>
    <t>Pending</t>
  </si>
  <si>
    <t>Outstanding amount as at 04/05/2026</t>
  </si>
  <si>
    <t>Vehicle Loan</t>
  </si>
  <si>
    <t>20/05/2025</t>
  </si>
  <si>
    <t>Outstanding amount as at 04/05/2026 Rs./FCY</t>
  </si>
  <si>
    <t>45Days</t>
  </si>
  <si>
    <t>AWPLR+1%</t>
  </si>
  <si>
    <t>Annexure1</t>
  </si>
  <si>
    <t>Overdraft</t>
  </si>
  <si>
    <t>Corporate Credit Card</t>
  </si>
  <si>
    <t>25Days</t>
  </si>
  <si>
    <t>Cargills</t>
  </si>
  <si>
    <t>Update 04/05/2026</t>
  </si>
  <si>
    <t>15/08/2026</t>
  </si>
  <si>
    <t>1Years</t>
  </si>
  <si>
    <t>Lien over the above-mentioned NDB facilities and IATA Bank Guarantee</t>
  </si>
  <si>
    <t>26/01/2027</t>
  </si>
  <si>
    <t>02/02/2026</t>
  </si>
  <si>
    <t>02/02/2027</t>
  </si>
  <si>
    <t>NDB - Big Saver</t>
  </si>
  <si>
    <t>Up to the facility withdrawal date</t>
  </si>
  <si>
    <t>SB - CD</t>
  </si>
  <si>
    <t>26/04/2022</t>
  </si>
  <si>
    <t>19/05/2026</t>
  </si>
  <si>
    <t>Lien removed but FD uplift is only after maturity</t>
  </si>
  <si>
    <t>30/05/2022</t>
  </si>
  <si>
    <t>29/07/2022</t>
  </si>
  <si>
    <t>George Steuart Health (Pvt) Ltd</t>
  </si>
  <si>
    <r>
      <t xml:space="preserve">Outstanding amount as at </t>
    </r>
    <r>
      <rPr>
        <b/>
        <sz val="11"/>
        <color rgb="FFFF0000"/>
        <rFont val="Calibri"/>
        <family val="2"/>
      </rPr>
      <t>30 April 2026</t>
    </r>
    <r>
      <rPr>
        <b/>
        <sz val="11"/>
        <rFont val="Calibri"/>
        <family val="2"/>
      </rPr>
      <t xml:space="preserve"> Rs./FCY</t>
    </r>
  </si>
  <si>
    <r>
      <t xml:space="preserve">Outstanding amount as at </t>
    </r>
    <r>
      <rPr>
        <b/>
        <sz val="11"/>
        <color rgb="FFFF0000"/>
        <rFont val="Calibri"/>
        <family val="2"/>
      </rPr>
      <t>30 April 2026</t>
    </r>
    <r>
      <rPr>
        <b/>
        <sz val="11"/>
        <rFont val="Calibri"/>
        <family val="2"/>
      </rPr>
      <t xml:space="preserve"> </t>
    </r>
  </si>
  <si>
    <t>George Steuart Travels Ltd</t>
  </si>
  <si>
    <t>AA260229LN4Y</t>
  </si>
  <si>
    <t>22/01/2026</t>
  </si>
  <si>
    <t>AA260305HHPP</t>
  </si>
  <si>
    <t>30/01/2026</t>
  </si>
  <si>
    <t>AA26063GPWWJ</t>
  </si>
  <si>
    <t>AA26068YCLPB</t>
  </si>
  <si>
    <t>AA260758QHTC</t>
  </si>
  <si>
    <t>16/03/2026</t>
  </si>
  <si>
    <t>AA26079FJ9MF</t>
  </si>
  <si>
    <t>20/03/2026</t>
  </si>
  <si>
    <t>AA26082H426W</t>
  </si>
  <si>
    <t>23/03/2026</t>
  </si>
  <si>
    <t>AA26089YPPDH</t>
  </si>
  <si>
    <t>30/03/2026</t>
  </si>
  <si>
    <t>AA26097DY4HP</t>
  </si>
  <si>
    <t>AA26105SCC50</t>
  </si>
  <si>
    <t>15/04/2026</t>
  </si>
  <si>
    <t>AA26112W3BGJ</t>
  </si>
  <si>
    <t>22/04/2026</t>
  </si>
  <si>
    <t xml:space="preserve">AA26120T9BMF </t>
  </si>
  <si>
    <t>30/04/2026</t>
  </si>
  <si>
    <r>
      <t xml:space="preserve">Opening Balance - </t>
    </r>
    <r>
      <rPr>
        <sz val="10"/>
        <color rgb="FFFF0000"/>
        <rFont val="Aptos"/>
        <family val="2"/>
      </rPr>
      <t>April 2026</t>
    </r>
  </si>
  <si>
    <r>
      <t>Available Cash -</t>
    </r>
    <r>
      <rPr>
        <sz val="10"/>
        <color rgb="FFFF0000"/>
        <rFont val="Aptos"/>
        <family val="2"/>
      </rPr>
      <t xml:space="preserve"> April</t>
    </r>
    <r>
      <rPr>
        <sz val="10"/>
        <color theme="1"/>
        <rFont val="Aptos"/>
        <family val="2"/>
      </rPr>
      <t xml:space="preserve"> 2026</t>
    </r>
  </si>
  <si>
    <t>* FC Rates from CBSL</t>
  </si>
  <si>
    <t xml:space="preserve">NDB Wealth </t>
  </si>
  <si>
    <t>Money Market A/C</t>
  </si>
  <si>
    <t>1048445-01</t>
  </si>
  <si>
    <t>1001 1100 2815</t>
  </si>
  <si>
    <t>1001 1100 0088</t>
  </si>
  <si>
    <t>0012 1000 7225</t>
  </si>
  <si>
    <t>* With POD 13.5Mn</t>
  </si>
  <si>
    <t>0860 1358 9928 001</t>
  </si>
  <si>
    <t xml:space="preserve">1000 8947 43 </t>
  </si>
  <si>
    <t>148 1001 0005 0085</t>
  </si>
  <si>
    <t xml:space="preserve">Peoples </t>
  </si>
  <si>
    <t>1361 001 034 18931</t>
  </si>
  <si>
    <t>002930022406</t>
  </si>
  <si>
    <t>* With POD 50Mn</t>
  </si>
  <si>
    <t>002930025324</t>
  </si>
  <si>
    <t>502909000268</t>
  </si>
  <si>
    <t>* USD Rate 319.34</t>
  </si>
  <si>
    <t>100111001078</t>
  </si>
  <si>
    <t>309100180008189</t>
  </si>
  <si>
    <t>086013589957001</t>
  </si>
  <si>
    <t>* With POD 25Mn</t>
  </si>
  <si>
    <t>502909000241</t>
  </si>
  <si>
    <t>GBP</t>
  </si>
  <si>
    <t>* GBP Rate 430.41</t>
  </si>
  <si>
    <t>502930001451</t>
  </si>
  <si>
    <t>502930097884</t>
  </si>
  <si>
    <t>EUR</t>
  </si>
  <si>
    <t>* EUR Rate 372.68</t>
  </si>
  <si>
    <t>136100140032845</t>
  </si>
  <si>
    <t>1023274-01</t>
  </si>
  <si>
    <t>100166000978</t>
  </si>
  <si>
    <t>100111000880</t>
  </si>
  <si>
    <t>100870009540</t>
  </si>
  <si>
    <t>86013589944001</t>
  </si>
  <si>
    <t>002930027831</t>
  </si>
  <si>
    <t>* With POD 12.5Mn</t>
  </si>
  <si>
    <t>002930027858</t>
  </si>
  <si>
    <t>081010011965</t>
  </si>
  <si>
    <t>* With POD 57Mn</t>
  </si>
  <si>
    <t>202010003330</t>
  </si>
  <si>
    <t>081010015734</t>
  </si>
  <si>
    <t>202010003349</t>
  </si>
  <si>
    <t>100311011246</t>
  </si>
  <si>
    <t>Citrus LT (Pvt) Ltd</t>
  </si>
  <si>
    <t>081010014515</t>
  </si>
  <si>
    <t>Citrsu Leisure PLC</t>
  </si>
  <si>
    <t>Citrus Silver Ltd</t>
  </si>
  <si>
    <t>10 Years</t>
  </si>
  <si>
    <t>5 Years</t>
  </si>
  <si>
    <t>3 Years</t>
  </si>
  <si>
    <t>15/08/2025</t>
  </si>
  <si>
    <t>26/01/2026</t>
  </si>
  <si>
    <t>Comm Bank</t>
  </si>
  <si>
    <t>Peoples - RI</t>
  </si>
  <si>
    <t>Opening Balance</t>
  </si>
  <si>
    <t>Available Cash</t>
  </si>
  <si>
    <t>Peoppes</t>
  </si>
  <si>
    <t>SEYLAN</t>
  </si>
  <si>
    <r>
      <rPr>
        <b/>
        <sz val="12"/>
        <color theme="1"/>
        <rFont val="Aptos"/>
        <family val="2"/>
      </rPr>
      <t>Purpose:</t>
    </r>
    <r>
      <rPr>
        <sz val="12"/>
        <color theme="1"/>
        <rFont val="Aptos"/>
        <family val="2"/>
      </rPr>
      <t xml:space="preserve"> Immediate visibility of available liquidity</t>
    </r>
  </si>
  <si>
    <t>Opening Balance - Mar</t>
  </si>
  <si>
    <r>
      <t>Available Cash - 3</t>
    </r>
    <r>
      <rPr>
        <sz val="12"/>
        <rFont val="Aptos"/>
        <family val="2"/>
      </rPr>
      <t>0/04/2026</t>
    </r>
  </si>
  <si>
    <t>Remaks</t>
  </si>
  <si>
    <t>GSS</t>
  </si>
  <si>
    <t>Commercial Bank</t>
  </si>
  <si>
    <t>1020023631</t>
  </si>
  <si>
    <t>1000161074</t>
  </si>
  <si>
    <t>1000961599</t>
  </si>
  <si>
    <t>101001033396</t>
  </si>
  <si>
    <t>115510157755</t>
  </si>
  <si>
    <t>Cash buildup</t>
  </si>
  <si>
    <t>106590006311</t>
  </si>
  <si>
    <t>100020003275</t>
  </si>
  <si>
    <t>200020042138</t>
  </si>
  <si>
    <t>200020036250</t>
  </si>
  <si>
    <t>88234820</t>
  </si>
  <si>
    <t>88234806</t>
  </si>
  <si>
    <t>Union Bank</t>
  </si>
  <si>
    <t>120101000003065</t>
  </si>
  <si>
    <t>Account Closed</t>
  </si>
  <si>
    <t>0860-13457848-001</t>
  </si>
  <si>
    <t>Not operate</t>
  </si>
  <si>
    <t>Pan Asia</t>
  </si>
  <si>
    <t>100111000525</t>
  </si>
  <si>
    <t>Settement Date</t>
  </si>
  <si>
    <t>GS&amp;C</t>
  </si>
  <si>
    <t>Intercompany</t>
  </si>
  <si>
    <t>GS Travel</t>
  </si>
  <si>
    <t>Outstanding amount as at 07th May 2026 Rs.</t>
  </si>
  <si>
    <t>IML</t>
  </si>
  <si>
    <t>STL</t>
  </si>
  <si>
    <t>George Steuart Solutions (Pvt) Ltd</t>
  </si>
  <si>
    <t>Obtained date</t>
  </si>
  <si>
    <t>Settlement date</t>
  </si>
  <si>
    <t>No of days extended</t>
  </si>
  <si>
    <t>Revised settlement dates</t>
  </si>
  <si>
    <t xml:space="preserve">Settlement days passed and overdue </t>
  </si>
  <si>
    <t>Formula</t>
  </si>
  <si>
    <t>Renewal instructions</t>
  </si>
  <si>
    <t>System alert</t>
  </si>
  <si>
    <t>Syetm 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</si>
</sst>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m/yyyy;@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0F4761"/>
      <name val="Aptos Display"/>
      <family val="2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sz val="12"/>
      <color rgb="FFEE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F4761"/>
      <name val="Aptos Display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color theme="1"/>
      <name val="Aptos Narrow"/>
      <family val="2"/>
      <scheme val="minor"/>
    </font>
    <font>
      <sz val="10"/>
      <name val="Aptos"/>
      <family val="2"/>
    </font>
    <font>
      <sz val="10"/>
      <name val="Aptos Narrow"/>
      <family val="2"/>
      <scheme val="minor"/>
    </font>
    <font>
      <sz val="10"/>
      <color rgb="FFEE0000"/>
      <name val="Aptos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FF0000"/>
      <name val="Aptos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name val="Aptos"/>
      <family val="2"/>
    </font>
    <font>
      <sz val="12"/>
      <color theme="7" tint="-0.249977111117893"/>
      <name val="Aptos"/>
      <family val="2"/>
    </font>
    <font>
      <sz val="11"/>
      <color theme="7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E94"/>
        <bgColor indexed="64"/>
      </patternFill>
    </fill>
    <fill>
      <patternFill patternType="solid">
        <fgColor rgb="FF5EE8B7"/>
        <bgColor indexed="64"/>
      </patternFill>
    </fill>
    <fill>
      <patternFill patternType="solid">
        <fgColor rgb="FF8F9CC7"/>
        <bgColor indexed="64"/>
      </patternFill>
    </fill>
    <fill>
      <patternFill patternType="solid">
        <fgColor rgb="FFF5C51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DCCFB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</cellStyleXfs>
  <cellXfs count="470">
    <xf numFmtId="0" fontId="0" fillId="0" borderId="0" xfId="0"/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164" fontId="9" fillId="0" borderId="0" xfId="1" applyNumberFormat="1" applyFont="1" applyAlignment="1">
      <alignment horizontal="center"/>
    </xf>
    <xf numFmtId="0" fontId="9" fillId="0" borderId="2" xfId="0" applyFont="1" applyBorder="1"/>
    <xf numFmtId="164" fontId="9" fillId="0" borderId="0" xfId="1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164" fontId="8" fillId="0" borderId="0" xfId="1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64" fontId="9" fillId="0" borderId="1" xfId="1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/>
    <xf numFmtId="9" fontId="0" fillId="0" borderId="1" xfId="0" applyNumberForma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/>
    </xf>
    <xf numFmtId="164" fontId="0" fillId="0" borderId="0" xfId="1" applyNumberFormat="1" applyFont="1" applyFill="1"/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0" fillId="0" borderId="1" xfId="0" applyFont="1" applyBorder="1"/>
    <xf numFmtId="0" fontId="0" fillId="0" borderId="1" xfId="0" applyBorder="1" applyAlignment="1">
      <alignment horizontal="left"/>
    </xf>
    <xf numFmtId="164" fontId="0" fillId="0" borderId="1" xfId="1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4" fontId="0" fillId="0" borderId="1" xfId="0" applyNumberFormat="1" applyBorder="1"/>
    <xf numFmtId="16" fontId="0" fillId="0" borderId="0" xfId="1" applyNumberFormat="1" applyFont="1" applyFill="1"/>
    <xf numFmtId="164" fontId="0" fillId="0" borderId="0" xfId="0" applyNumberFormat="1"/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left"/>
    </xf>
    <xf numFmtId="43" fontId="0" fillId="0" borderId="1" xfId="1" applyFont="1" applyFill="1" applyBorder="1"/>
    <xf numFmtId="43" fontId="0" fillId="0" borderId="0" xfId="1" applyFont="1" applyFill="1"/>
    <xf numFmtId="0" fontId="1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2" fillId="0" borderId="1" xfId="1" applyNumberFormat="1" applyFont="1" applyFill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/>
    <xf numFmtId="164" fontId="2" fillId="0" borderId="0" xfId="1" applyNumberFormat="1" applyFont="1" applyFill="1"/>
    <xf numFmtId="164" fontId="2" fillId="0" borderId="0" xfId="0" applyNumberFormat="1" applyFont="1"/>
    <xf numFmtId="0" fontId="2" fillId="0" borderId="0" xfId="0" applyFont="1"/>
    <xf numFmtId="0" fontId="6" fillId="0" borderId="0" xfId="0" applyFont="1" applyAlignment="1">
      <alignment horizontal="left" vertical="center" wrapText="1"/>
    </xf>
    <xf numFmtId="164" fontId="9" fillId="0" borderId="0" xfId="1" applyNumberFormat="1" applyFont="1" applyFill="1" applyAlignment="1">
      <alignment horizontal="center"/>
    </xf>
    <xf numFmtId="164" fontId="9" fillId="0" borderId="0" xfId="1" applyNumberFormat="1" applyFont="1" applyFill="1"/>
    <xf numFmtId="164" fontId="8" fillId="0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/>
    </xf>
    <xf numFmtId="43" fontId="10" fillId="0" borderId="1" xfId="1" applyFont="1" applyFill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10" fontId="9" fillId="0" borderId="1" xfId="0" applyNumberFormat="1" applyFont="1" applyBorder="1"/>
    <xf numFmtId="0" fontId="10" fillId="0" borderId="0" xfId="0" applyFont="1"/>
    <xf numFmtId="164" fontId="10" fillId="0" borderId="0" xfId="1" applyNumberFormat="1" applyFont="1" applyFill="1"/>
    <xf numFmtId="9" fontId="9" fillId="0" borderId="1" xfId="0" applyNumberFormat="1" applyFont="1" applyBorder="1"/>
    <xf numFmtId="43" fontId="9" fillId="0" borderId="1" xfId="1" applyFont="1" applyFill="1" applyBorder="1" applyAlignment="1">
      <alignment horizontal="center"/>
    </xf>
    <xf numFmtId="43" fontId="10" fillId="0" borderId="6" xfId="0" applyNumberFormat="1" applyFont="1" applyBorder="1"/>
    <xf numFmtId="43" fontId="0" fillId="0" borderId="0" xfId="1" applyFont="1"/>
    <xf numFmtId="43" fontId="6" fillId="0" borderId="1" xfId="1" applyFont="1" applyBorder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43" fontId="6" fillId="0" borderId="0" xfId="1" applyFont="1" applyAlignment="1">
      <alignment vertical="center" wrapText="1"/>
    </xf>
    <xf numFmtId="43" fontId="6" fillId="0" borderId="0" xfId="1" applyFont="1" applyFill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12" fillId="0" borderId="0" xfId="0" applyFont="1"/>
    <xf numFmtId="164" fontId="0" fillId="0" borderId="0" xfId="1" applyNumberFormat="1" applyFont="1"/>
    <xf numFmtId="14" fontId="3" fillId="0" borderId="2" xfId="0" applyNumberFormat="1" applyFont="1" applyBorder="1"/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 wrapText="1"/>
    </xf>
    <xf numFmtId="17" fontId="0" fillId="0" borderId="1" xfId="0" applyNumberFormat="1" applyBorder="1"/>
    <xf numFmtId="10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/>
    </xf>
    <xf numFmtId="43" fontId="0" fillId="0" borderId="1" xfId="1" applyFont="1" applyBorder="1"/>
    <xf numFmtId="43" fontId="0" fillId="0" borderId="0" xfId="0" applyNumberFormat="1"/>
    <xf numFmtId="10" fontId="3" fillId="0" borderId="0" xfId="1" applyNumberFormat="1" applyFont="1" applyBorder="1" applyAlignment="1">
      <alignment horizontal="center" vertical="center"/>
    </xf>
    <xf numFmtId="43" fontId="0" fillId="0" borderId="0" xfId="1" applyFont="1" applyBorder="1"/>
    <xf numFmtId="0" fontId="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15" fillId="0" borderId="0" xfId="0" applyFont="1"/>
    <xf numFmtId="43" fontId="15" fillId="0" borderId="0" xfId="1" applyFont="1"/>
    <xf numFmtId="164" fontId="15" fillId="0" borderId="0" xfId="1" applyNumberFormat="1" applyFont="1"/>
    <xf numFmtId="0" fontId="16" fillId="0" borderId="0" xfId="0" applyFont="1" applyAlignment="1">
      <alignment vertical="center"/>
    </xf>
    <xf numFmtId="0" fontId="18" fillId="0" borderId="0" xfId="0" applyFont="1"/>
    <xf numFmtId="0" fontId="19" fillId="0" borderId="1" xfId="0" applyFont="1" applyBorder="1" applyAlignment="1">
      <alignment vertical="center" wrapText="1"/>
    </xf>
    <xf numFmtId="164" fontId="19" fillId="0" borderId="1" xfId="1" applyNumberFormat="1" applyFont="1" applyFill="1" applyBorder="1" applyAlignment="1">
      <alignment vertical="center" wrapText="1"/>
    </xf>
    <xf numFmtId="0" fontId="20" fillId="0" borderId="0" xfId="0" applyFont="1"/>
    <xf numFmtId="43" fontId="20" fillId="0" borderId="0" xfId="0" applyNumberFormat="1" applyFont="1"/>
    <xf numFmtId="1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0" fontId="17" fillId="0" borderId="0" xfId="0" applyFont="1" applyAlignment="1">
      <alignment vertical="center" wrapText="1"/>
    </xf>
    <xf numFmtId="43" fontId="17" fillId="0" borderId="0" xfId="1" applyFont="1" applyAlignment="1">
      <alignment vertical="center" wrapText="1"/>
    </xf>
    <xf numFmtId="164" fontId="17" fillId="0" borderId="0" xfId="1" applyNumberFormat="1" applyFont="1" applyAlignment="1">
      <alignment vertical="center" wrapText="1"/>
    </xf>
    <xf numFmtId="0" fontId="15" fillId="0" borderId="0" xfId="0" applyFont="1" applyAlignment="1">
      <alignment horizontal="center"/>
    </xf>
    <xf numFmtId="43" fontId="15" fillId="0" borderId="0" xfId="1" applyFont="1" applyAlignment="1">
      <alignment horizontal="center"/>
    </xf>
    <xf numFmtId="164" fontId="15" fillId="0" borderId="0" xfId="1" applyNumberFormat="1" applyFont="1" applyAlignment="1">
      <alignment horizontal="center"/>
    </xf>
    <xf numFmtId="0" fontId="17" fillId="0" borderId="1" xfId="0" applyFont="1" applyBorder="1" applyAlignment="1">
      <alignment vertical="center" wrapText="1"/>
    </xf>
    <xf numFmtId="43" fontId="17" fillId="0" borderId="1" xfId="1" applyFont="1" applyBorder="1" applyAlignment="1">
      <alignment vertical="center" wrapText="1"/>
    </xf>
    <xf numFmtId="164" fontId="17" fillId="0" borderId="1" xfId="1" applyNumberFormat="1" applyFont="1" applyBorder="1" applyAlignment="1">
      <alignment vertical="center"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left"/>
    </xf>
    <xf numFmtId="43" fontId="23" fillId="0" borderId="0" xfId="1" applyFont="1" applyAlignment="1">
      <alignment horizontal="center"/>
    </xf>
    <xf numFmtId="164" fontId="23" fillId="0" borderId="0" xfId="1" applyNumberFormat="1" applyFont="1" applyAlignment="1">
      <alignment horizontal="center"/>
    </xf>
    <xf numFmtId="43" fontId="23" fillId="0" borderId="2" xfId="1" applyFont="1" applyBorder="1"/>
    <xf numFmtId="14" fontId="23" fillId="0" borderId="0" xfId="1" applyNumberFormat="1" applyFont="1"/>
    <xf numFmtId="0" fontId="22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3" fontId="22" fillId="0" borderId="1" xfId="1" applyFont="1" applyBorder="1" applyAlignment="1">
      <alignment horizontal="center" vertical="center" wrapText="1"/>
    </xf>
    <xf numFmtId="164" fontId="22" fillId="0" borderId="1" xfId="1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/>
    <xf numFmtId="43" fontId="15" fillId="0" borderId="1" xfId="1" applyFont="1" applyBorder="1"/>
    <xf numFmtId="14" fontId="15" fillId="0" borderId="1" xfId="1" applyNumberFormat="1" applyFont="1" applyBorder="1"/>
    <xf numFmtId="10" fontId="15" fillId="0" borderId="1" xfId="2" applyNumberFormat="1" applyFont="1" applyBorder="1" applyAlignment="1">
      <alignment horizontal="center"/>
    </xf>
    <xf numFmtId="3" fontId="15" fillId="0" borderId="1" xfId="0" applyNumberFormat="1" applyFont="1" applyBorder="1"/>
    <xf numFmtId="14" fontId="15" fillId="0" borderId="0" xfId="1" applyNumberFormat="1" applyFont="1"/>
    <xf numFmtId="10" fontId="20" fillId="0" borderId="1" xfId="2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43" fontId="22" fillId="0" borderId="0" xfId="1" applyFont="1" applyAlignment="1">
      <alignment horizontal="center"/>
    </xf>
    <xf numFmtId="164" fontId="22" fillId="0" borderId="0" xfId="1" applyNumberFormat="1" applyFont="1" applyAlignment="1">
      <alignment horizontal="center"/>
    </xf>
    <xf numFmtId="43" fontId="22" fillId="0" borderId="0" xfId="1" applyFont="1"/>
    <xf numFmtId="43" fontId="22" fillId="0" borderId="1" xfId="1" applyFont="1" applyFill="1" applyBorder="1" applyAlignment="1">
      <alignment horizontal="center" vertical="center" wrapText="1"/>
    </xf>
    <xf numFmtId="164" fontId="22" fillId="0" borderId="1" xfId="1" applyNumberFormat="1" applyFont="1" applyFill="1" applyBorder="1" applyAlignment="1">
      <alignment horizontal="center" vertical="center"/>
    </xf>
    <xf numFmtId="43" fontId="22" fillId="0" borderId="0" xfId="1" applyFont="1" applyFill="1" applyBorder="1" applyAlignment="1">
      <alignment horizontal="center" vertical="center" wrapText="1"/>
    </xf>
    <xf numFmtId="43" fontId="15" fillId="0" borderId="0" xfId="1" applyFont="1" applyFill="1"/>
    <xf numFmtId="43" fontId="15" fillId="0" borderId="1" xfId="1" applyFont="1" applyFill="1" applyBorder="1"/>
    <xf numFmtId="10" fontId="15" fillId="0" borderId="1" xfId="2" applyNumberFormat="1" applyFont="1" applyFill="1" applyBorder="1"/>
    <xf numFmtId="43" fontId="15" fillId="0" borderId="0" xfId="1" applyFont="1" applyFill="1" applyBorder="1"/>
    <xf numFmtId="43" fontId="23" fillId="0" borderId="0" xfId="1" applyFont="1"/>
    <xf numFmtId="0" fontId="22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164" fontId="22" fillId="0" borderId="1" xfId="1" applyNumberFormat="1" applyFont="1" applyBorder="1" applyAlignment="1">
      <alignment horizontal="center" vertical="center"/>
    </xf>
    <xf numFmtId="43" fontId="22" fillId="0" borderId="1" xfId="1" applyFont="1" applyBorder="1" applyAlignment="1">
      <alignment horizontal="center" vertical="center"/>
    </xf>
    <xf numFmtId="14" fontId="15" fillId="0" borderId="1" xfId="0" applyNumberFormat="1" applyFont="1" applyBorder="1"/>
    <xf numFmtId="164" fontId="15" fillId="0" borderId="1" xfId="1" applyNumberFormat="1" applyFont="1" applyBorder="1"/>
    <xf numFmtId="0" fontId="15" fillId="0" borderId="1" xfId="0" applyFont="1" applyBorder="1" applyAlignment="1">
      <alignment horizontal="center"/>
    </xf>
    <xf numFmtId="0" fontId="17" fillId="0" borderId="1" xfId="0" quotePrefix="1" applyFont="1" applyBorder="1" applyAlignment="1">
      <alignment horizontal="left" vertical="center" wrapText="1"/>
    </xf>
    <xf numFmtId="164" fontId="17" fillId="3" borderId="1" xfId="1" applyNumberFormat="1" applyFont="1" applyFill="1" applyBorder="1" applyAlignment="1">
      <alignment vertical="center" wrapText="1"/>
    </xf>
    <xf numFmtId="0" fontId="18" fillId="0" borderId="0" xfId="0" applyFont="1" applyAlignment="1">
      <alignment horizontal="center"/>
    </xf>
    <xf numFmtId="3" fontId="15" fillId="0" borderId="0" xfId="0" applyNumberFormat="1" applyFont="1"/>
    <xf numFmtId="0" fontId="17" fillId="0" borderId="1" xfId="0" quotePrefix="1" applyFont="1" applyBorder="1" applyAlignment="1">
      <alignment vertical="center" wrapText="1"/>
    </xf>
    <xf numFmtId="0" fontId="15" fillId="2" borderId="0" xfId="0" applyFont="1" applyFill="1"/>
    <xf numFmtId="0" fontId="17" fillId="4" borderId="0" xfId="0" applyFont="1" applyFill="1" applyAlignment="1">
      <alignment vertical="center" wrapText="1"/>
    </xf>
    <xf numFmtId="3" fontId="15" fillId="0" borderId="0" xfId="0" applyNumberFormat="1" applyFont="1" applyAlignment="1">
      <alignment horizontal="center"/>
    </xf>
    <xf numFmtId="0" fontId="17" fillId="5" borderId="1" xfId="0" applyFont="1" applyFill="1" applyBorder="1" applyAlignment="1">
      <alignment vertical="center" wrapText="1"/>
    </xf>
    <xf numFmtId="0" fontId="17" fillId="6" borderId="0" xfId="0" applyFont="1" applyFill="1" applyAlignment="1">
      <alignment vertical="center" wrapText="1"/>
    </xf>
    <xf numFmtId="164" fontId="17" fillId="0" borderId="1" xfId="1" applyNumberFormat="1" applyFont="1" applyFill="1" applyBorder="1" applyAlignment="1">
      <alignment vertical="center" wrapText="1"/>
    </xf>
    <xf numFmtId="164" fontId="15" fillId="0" borderId="1" xfId="1" applyNumberFormat="1" applyFont="1" applyFill="1" applyBorder="1"/>
    <xf numFmtId="0" fontId="17" fillId="2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0" fontId="15" fillId="5" borderId="0" xfId="0" applyFont="1" applyFill="1"/>
    <xf numFmtId="4" fontId="17" fillId="0" borderId="0" xfId="0" applyNumberFormat="1" applyFont="1" applyAlignment="1">
      <alignment vertical="center" wrapText="1"/>
    </xf>
    <xf numFmtId="164" fontId="17" fillId="0" borderId="0" xfId="0" applyNumberFormat="1" applyFont="1" applyAlignment="1">
      <alignment vertical="center" wrapText="1"/>
    </xf>
    <xf numFmtId="164" fontId="15" fillId="0" borderId="0" xfId="0" applyNumberFormat="1" applyFont="1"/>
    <xf numFmtId="43" fontId="15" fillId="0" borderId="0" xfId="0" applyNumberFormat="1" applyFont="1"/>
    <xf numFmtId="4" fontId="15" fillId="0" borderId="0" xfId="0" applyNumberFormat="1" applyFont="1"/>
    <xf numFmtId="0" fontId="23" fillId="0" borderId="2" xfId="0" applyFont="1" applyBorder="1"/>
    <xf numFmtId="164" fontId="23" fillId="0" borderId="0" xfId="1" applyNumberFormat="1" applyFont="1"/>
    <xf numFmtId="164" fontId="15" fillId="0" borderId="1" xfId="1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9" fontId="15" fillId="0" borderId="1" xfId="0" applyNumberFormat="1" applyFont="1" applyBorder="1" applyAlignment="1">
      <alignment horizontal="center"/>
    </xf>
    <xf numFmtId="164" fontId="15" fillId="3" borderId="1" xfId="1" applyNumberFormat="1" applyFont="1" applyFill="1" applyBorder="1" applyAlignment="1">
      <alignment horizontal="center" wrapText="1"/>
    </xf>
    <xf numFmtId="10" fontId="15" fillId="0" borderId="1" xfId="0" applyNumberFormat="1" applyFont="1" applyBorder="1" applyAlignment="1">
      <alignment horizontal="center"/>
    </xf>
    <xf numFmtId="164" fontId="15" fillId="3" borderId="1" xfId="1" applyNumberFormat="1" applyFont="1" applyFill="1" applyBorder="1" applyAlignment="1">
      <alignment horizontal="center"/>
    </xf>
    <xf numFmtId="43" fontId="15" fillId="0" borderId="1" xfId="1" applyFont="1" applyBorder="1" applyAlignment="1">
      <alignment horizontal="center"/>
    </xf>
    <xf numFmtId="164" fontId="15" fillId="0" borderId="1" xfId="1" applyNumberFormat="1" applyFont="1" applyBorder="1" applyAlignment="1">
      <alignment horizontal="right"/>
    </xf>
    <xf numFmtId="164" fontId="15" fillId="3" borderId="1" xfId="1" applyNumberFormat="1" applyFont="1" applyFill="1" applyBorder="1"/>
    <xf numFmtId="43" fontId="15" fillId="0" borderId="1" xfId="1" applyFont="1" applyFill="1" applyBorder="1" applyAlignment="1">
      <alignment horizontal="center"/>
    </xf>
    <xf numFmtId="164" fontId="15" fillId="0" borderId="1" xfId="1" applyNumberFormat="1" applyFont="1" applyFill="1" applyBorder="1" applyAlignment="1">
      <alignment horizontal="right"/>
    </xf>
    <xf numFmtId="9" fontId="15" fillId="0" borderId="1" xfId="1" applyNumberFormat="1" applyFont="1" applyFill="1" applyBorder="1" applyAlignment="1">
      <alignment horizontal="center"/>
    </xf>
    <xf numFmtId="16" fontId="15" fillId="0" borderId="0" xfId="0" applyNumberFormat="1" applyFont="1"/>
    <xf numFmtId="164" fontId="15" fillId="3" borderId="1" xfId="1" applyNumberFormat="1" applyFont="1" applyFill="1" applyBorder="1" applyAlignment="1">
      <alignment horizontal="left" vertical="center" wrapText="1" indent="4"/>
    </xf>
    <xf numFmtId="164" fontId="15" fillId="0" borderId="1" xfId="1" applyNumberFormat="1" applyFont="1" applyFill="1" applyBorder="1" applyAlignment="1">
      <alignment horizontal="left" vertical="center" wrapText="1" indent="4"/>
    </xf>
    <xf numFmtId="0" fontId="15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164" fontId="15" fillId="0" borderId="1" xfId="1" quotePrefix="1" applyNumberFormat="1" applyFont="1" applyFill="1" applyBorder="1" applyAlignment="1">
      <alignment horizontal="left" vertical="center" wrapText="1" indent="4"/>
    </xf>
    <xf numFmtId="14" fontId="15" fillId="0" borderId="10" xfId="0" quotePrefix="1" applyNumberFormat="1" applyFont="1" applyBorder="1" applyAlignment="1">
      <alignment horizontal="center" vertical="center"/>
    </xf>
    <xf numFmtId="10" fontId="15" fillId="0" borderId="1" xfId="2" applyNumberFormat="1" applyFont="1" applyFill="1" applyBorder="1" applyAlignment="1">
      <alignment horizontal="center"/>
    </xf>
    <xf numFmtId="14" fontId="15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4" fontId="0" fillId="0" borderId="0" xfId="0" applyNumberFormat="1"/>
    <xf numFmtId="9" fontId="0" fillId="0" borderId="0" xfId="0" applyNumberFormat="1"/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164" fontId="19" fillId="2" borderId="1" xfId="1" applyNumberFormat="1" applyFont="1" applyFill="1" applyBorder="1" applyAlignment="1">
      <alignment vertical="center" wrapText="1"/>
    </xf>
    <xf numFmtId="1" fontId="1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0" fillId="9" borderId="1" xfId="0" applyFill="1" applyBorder="1"/>
    <xf numFmtId="0" fontId="0" fillId="11" borderId="1" xfId="0" applyFill="1" applyBorder="1"/>
    <xf numFmtId="0" fontId="9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9" fillId="9" borderId="1" xfId="0" applyFont="1" applyFill="1" applyBorder="1" applyAlignment="1">
      <alignment horizontal="left" vertical="center"/>
    </xf>
    <xf numFmtId="0" fontId="26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 vertical="center" wrapText="1"/>
    </xf>
    <xf numFmtId="1" fontId="10" fillId="2" borderId="1" xfId="0" applyNumberFormat="1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/>
    </xf>
    <xf numFmtId="1" fontId="10" fillId="7" borderId="1" xfId="0" applyNumberFormat="1" applyFont="1" applyFill="1" applyBorder="1" applyAlignment="1">
      <alignment horizontal="left"/>
    </xf>
    <xf numFmtId="0" fontId="26" fillId="0" borderId="1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10" fillId="12" borderId="1" xfId="0" applyFont="1" applyFill="1" applyBorder="1" applyAlignment="1">
      <alignment horizontal="left"/>
    </xf>
    <xf numFmtId="0" fontId="10" fillId="12" borderId="1" xfId="0" applyFont="1" applyFill="1" applyBorder="1"/>
    <xf numFmtId="0" fontId="10" fillId="0" borderId="0" xfId="0" applyFont="1" applyAlignment="1">
      <alignment horizontal="left"/>
    </xf>
    <xf numFmtId="0" fontId="10" fillId="4" borderId="1" xfId="0" applyFont="1" applyFill="1" applyBorder="1" applyAlignment="1">
      <alignment horizontal="left"/>
    </xf>
    <xf numFmtId="0" fontId="10" fillId="4" borderId="1" xfId="0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1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0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/>
    <xf numFmtId="0" fontId="17" fillId="13" borderId="0" xfId="0" applyFont="1" applyFill="1" applyAlignment="1">
      <alignment vertical="center" wrapText="1"/>
    </xf>
    <xf numFmtId="164" fontId="17" fillId="13" borderId="0" xfId="1" applyNumberFormat="1" applyFont="1" applyFill="1" applyAlignment="1">
      <alignment vertical="center" wrapText="1"/>
    </xf>
    <xf numFmtId="164" fontId="15" fillId="13" borderId="0" xfId="1" applyNumberFormat="1" applyFont="1" applyFill="1"/>
    <xf numFmtId="0" fontId="17" fillId="13" borderId="0" xfId="0" quotePrefix="1" applyFont="1" applyFill="1" applyAlignment="1">
      <alignment horizontal="left" vertical="center" wrapText="1"/>
    </xf>
    <xf numFmtId="0" fontId="17" fillId="13" borderId="0" xfId="0" quotePrefix="1" applyFont="1" applyFill="1" applyAlignment="1">
      <alignment vertical="center" wrapText="1"/>
    </xf>
    <xf numFmtId="43" fontId="17" fillId="0" borderId="0" xfId="1" applyFont="1" applyFill="1" applyAlignment="1">
      <alignment vertical="center" wrapText="1"/>
    </xf>
    <xf numFmtId="0" fontId="17" fillId="13" borderId="1" xfId="0" applyFont="1" applyFill="1" applyBorder="1" applyAlignment="1">
      <alignment vertical="center" wrapText="1"/>
    </xf>
    <xf numFmtId="0" fontId="17" fillId="13" borderId="1" xfId="0" quotePrefix="1" applyFont="1" applyFill="1" applyBorder="1" applyAlignment="1">
      <alignment horizontal="left" vertical="center" wrapText="1"/>
    </xf>
    <xf numFmtId="164" fontId="17" fillId="13" borderId="1" xfId="1" applyNumberFormat="1" applyFont="1" applyFill="1" applyBorder="1" applyAlignment="1">
      <alignment vertical="center" wrapText="1"/>
    </xf>
    <xf numFmtId="164" fontId="15" fillId="13" borderId="1" xfId="1" applyNumberFormat="1" applyFont="1" applyFill="1" applyBorder="1"/>
    <xf numFmtId="0" fontId="17" fillId="13" borderId="1" xfId="0" applyFont="1" applyFill="1" applyBorder="1" applyAlignment="1">
      <alignment horizontal="left" vertical="center" wrapText="1"/>
    </xf>
    <xf numFmtId="0" fontId="17" fillId="13" borderId="1" xfId="0" quotePrefix="1" applyFont="1" applyFill="1" applyBorder="1" applyAlignment="1">
      <alignment vertical="center" wrapText="1"/>
    </xf>
    <xf numFmtId="0" fontId="10" fillId="0" borderId="0" xfId="0" applyFont="1" applyAlignment="1">
      <alignment horizontal="center"/>
    </xf>
    <xf numFmtId="0" fontId="10" fillId="11" borderId="1" xfId="0" applyFont="1" applyFill="1" applyBorder="1"/>
    <xf numFmtId="0" fontId="10" fillId="8" borderId="1" xfId="0" applyFont="1" applyFill="1" applyBorder="1"/>
    <xf numFmtId="0" fontId="10" fillId="9" borderId="1" xfId="0" applyFont="1" applyFill="1" applyBorder="1"/>
    <xf numFmtId="0" fontId="10" fillId="10" borderId="1" xfId="0" applyFont="1" applyFill="1" applyBorder="1"/>
    <xf numFmtId="0" fontId="0" fillId="12" borderId="1" xfId="0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10" fillId="10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43" fontId="9" fillId="5" borderId="1" xfId="0" applyNumberFormat="1" applyFont="1" applyFill="1" applyBorder="1" applyAlignment="1">
      <alignment vertical="center"/>
    </xf>
    <xf numFmtId="0" fontId="0" fillId="8" borderId="1" xfId="0" applyFill="1" applyBorder="1"/>
    <xf numFmtId="0" fontId="9" fillId="2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3" fillId="11" borderId="1" xfId="0" applyFont="1" applyFill="1" applyBorder="1"/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4" fillId="0" borderId="0" xfId="3" applyFont="1" applyAlignment="1">
      <alignment vertical="center"/>
    </xf>
    <xf numFmtId="0" fontId="27" fillId="0" borderId="0" xfId="3"/>
    <xf numFmtId="0" fontId="5" fillId="0" borderId="0" xfId="3" applyFont="1" applyAlignment="1">
      <alignment vertical="center"/>
    </xf>
    <xf numFmtId="0" fontId="6" fillId="0" borderId="1" xfId="3" applyFont="1" applyBorder="1" applyAlignment="1">
      <alignment vertical="center" wrapText="1"/>
    </xf>
    <xf numFmtId="0" fontId="6" fillId="0" borderId="0" xfId="3" applyFont="1" applyAlignment="1">
      <alignment vertical="center" wrapText="1"/>
    </xf>
    <xf numFmtId="0" fontId="6" fillId="0" borderId="0" xfId="3" quotePrefix="1" applyFont="1" applyAlignment="1">
      <alignment vertical="center" wrapText="1"/>
    </xf>
    <xf numFmtId="164" fontId="6" fillId="0" borderId="0" xfId="1" applyNumberFormat="1" applyFont="1" applyAlignment="1">
      <alignment vertical="center" wrapText="1"/>
    </xf>
    <xf numFmtId="164" fontId="6" fillId="0" borderId="0" xfId="1" applyNumberFormat="1" applyFont="1" applyFill="1" applyAlignment="1">
      <alignment vertical="center" wrapText="1"/>
    </xf>
    <xf numFmtId="0" fontId="29" fillId="0" borderId="0" xfId="3" applyFont="1" applyAlignment="1">
      <alignment vertical="center" wrapText="1"/>
    </xf>
    <xf numFmtId="0" fontId="29" fillId="0" borderId="0" xfId="3" quotePrefix="1" applyFont="1" applyAlignment="1">
      <alignment vertical="center" wrapText="1"/>
    </xf>
    <xf numFmtId="43" fontId="29" fillId="0" borderId="0" xfId="1" applyFont="1" applyAlignment="1">
      <alignment vertical="center" wrapText="1"/>
    </xf>
    <xf numFmtId="164" fontId="29" fillId="0" borderId="0" xfId="1" applyNumberFormat="1" applyFont="1" applyAlignment="1">
      <alignment vertical="center" wrapText="1"/>
    </xf>
    <xf numFmtId="43" fontId="29" fillId="0" borderId="0" xfId="1" applyFont="1" applyFill="1" applyAlignment="1">
      <alignment vertical="center" wrapText="1"/>
    </xf>
    <xf numFmtId="43" fontId="30" fillId="0" borderId="0" xfId="1" applyFont="1"/>
    <xf numFmtId="0" fontId="8" fillId="0" borderId="0" xfId="3" applyFont="1" applyAlignment="1">
      <alignment horizontal="left"/>
    </xf>
    <xf numFmtId="0" fontId="9" fillId="0" borderId="0" xfId="3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left"/>
    </xf>
    <xf numFmtId="0" fontId="9" fillId="0" borderId="2" xfId="3" applyFont="1" applyBorder="1"/>
    <xf numFmtId="0" fontId="8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9" fontId="27" fillId="0" borderId="0" xfId="3" applyNumberFormat="1"/>
    <xf numFmtId="165" fontId="0" fillId="0" borderId="0" xfId="1" applyNumberFormat="1" applyFont="1"/>
    <xf numFmtId="10" fontId="27" fillId="0" borderId="0" xfId="3" applyNumberFormat="1"/>
    <xf numFmtId="164" fontId="27" fillId="0" borderId="0" xfId="3" applyNumberFormat="1"/>
    <xf numFmtId="0" fontId="8" fillId="0" borderId="0" xfId="3" applyFont="1" applyAlignment="1">
      <alignment horizontal="center"/>
    </xf>
    <xf numFmtId="0" fontId="8" fillId="0" borderId="0" xfId="3" applyFont="1"/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horizontal="center" vertical="center"/>
    </xf>
    <xf numFmtId="164" fontId="8" fillId="0" borderId="0" xfId="1" applyNumberFormat="1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9" fillId="0" borderId="0" xfId="3" applyFont="1" applyAlignment="1">
      <alignment horizontal="left" vertical="center"/>
    </xf>
    <xf numFmtId="0" fontId="9" fillId="0" borderId="0" xfId="3" applyFont="1" applyAlignment="1">
      <alignment horizontal="center" vertical="center"/>
    </xf>
    <xf numFmtId="164" fontId="9" fillId="0" borderId="0" xfId="1" applyNumberFormat="1" applyFont="1" applyBorder="1" applyAlignment="1">
      <alignment horizontal="center" vertical="center" wrapText="1"/>
    </xf>
    <xf numFmtId="10" fontId="9" fillId="0" borderId="0" xfId="2" applyNumberFormat="1" applyFont="1" applyBorder="1" applyAlignment="1">
      <alignment horizontal="center" vertical="center"/>
    </xf>
    <xf numFmtId="43" fontId="8" fillId="0" borderId="0" xfId="1" applyFont="1" applyFill="1" applyBorder="1" applyAlignment="1">
      <alignment horizontal="center" vertical="center" wrapText="1"/>
    </xf>
    <xf numFmtId="14" fontId="9" fillId="0" borderId="0" xfId="1" applyNumberFormat="1" applyFont="1" applyBorder="1" applyAlignment="1">
      <alignment horizontal="right" vertical="center" wrapText="1"/>
    </xf>
    <xf numFmtId="15" fontId="27" fillId="0" borderId="0" xfId="3" applyNumberFormat="1"/>
    <xf numFmtId="4" fontId="27" fillId="0" borderId="0" xfId="3" applyNumberFormat="1"/>
    <xf numFmtId="43" fontId="27" fillId="0" borderId="0" xfId="3" applyNumberFormat="1"/>
    <xf numFmtId="43" fontId="8" fillId="0" borderId="0" xfId="1" applyFont="1" applyFill="1" applyAlignment="1">
      <alignment horizontal="center" vertical="center" wrapText="1"/>
    </xf>
    <xf numFmtId="43" fontId="8" fillId="0" borderId="0" xfId="1" applyFont="1" applyBorder="1" applyAlignment="1">
      <alignment horizontal="center" vertical="center" wrapText="1"/>
    </xf>
    <xf numFmtId="10" fontId="0" fillId="0" borderId="0" xfId="2" applyNumberFormat="1" applyFont="1"/>
    <xf numFmtId="0" fontId="3" fillId="0" borderId="1" xfId="3" applyFont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/>
    </xf>
    <xf numFmtId="0" fontId="8" fillId="14" borderId="3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vertical="center"/>
    </xf>
    <xf numFmtId="0" fontId="9" fillId="14" borderId="1" xfId="0" applyFont="1" applyFill="1" applyBorder="1" applyAlignment="1">
      <alignment horizontal="left" vertical="center"/>
    </xf>
    <xf numFmtId="43" fontId="9" fillId="14" borderId="1" xfId="1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49" fontId="10" fillId="5" borderId="1" xfId="0" applyNumberFormat="1" applyFont="1" applyFill="1" applyBorder="1" applyAlignment="1">
      <alignment horizontal="left"/>
    </xf>
    <xf numFmtId="0" fontId="3" fillId="12" borderId="1" xfId="0" applyFont="1" applyFill="1" applyBorder="1" applyAlignment="1">
      <alignment horizontal="left"/>
    </xf>
    <xf numFmtId="0" fontId="0" fillId="12" borderId="1" xfId="0" applyFill="1" applyBorder="1"/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/>
    </xf>
    <xf numFmtId="0" fontId="26" fillId="12" borderId="1" xfId="0" applyFont="1" applyFill="1" applyBorder="1" applyAlignment="1">
      <alignment horizontal="left"/>
    </xf>
    <xf numFmtId="0" fontId="3" fillId="12" borderId="3" xfId="0" applyFont="1" applyFill="1" applyBorder="1" applyAlignment="1">
      <alignment wrapText="1"/>
    </xf>
    <xf numFmtId="0" fontId="3" fillId="12" borderId="5" xfId="0" applyFont="1" applyFill="1" applyBorder="1" applyAlignment="1">
      <alignment wrapText="1"/>
    </xf>
    <xf numFmtId="0" fontId="8" fillId="14" borderId="3" xfId="0" applyFont="1" applyFill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11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4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left" vertical="center" wrapText="1"/>
    </xf>
    <xf numFmtId="0" fontId="26" fillId="5" borderId="3" xfId="0" applyFont="1" applyFill="1" applyBorder="1" applyAlignment="1">
      <alignment horizontal="left" vertical="center" wrapText="1"/>
    </xf>
    <xf numFmtId="0" fontId="26" fillId="5" borderId="4" xfId="0" applyFont="1" applyFill="1" applyBorder="1" applyAlignment="1">
      <alignment horizontal="left" vertical="center" wrapText="1"/>
    </xf>
    <xf numFmtId="0" fontId="26" fillId="5" borderId="5" xfId="0" applyFont="1" applyFill="1" applyBorder="1" applyAlignment="1">
      <alignment horizontal="left" vertical="center" wrapText="1"/>
    </xf>
    <xf numFmtId="0" fontId="26" fillId="8" borderId="1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vertical="center" wrapText="1"/>
    </xf>
    <xf numFmtId="0" fontId="3" fillId="9" borderId="5" xfId="0" applyFont="1" applyFill="1" applyBorder="1" applyAlignment="1">
      <alignment vertical="center" wrapText="1"/>
    </xf>
    <xf numFmtId="0" fontId="26" fillId="14" borderId="3" xfId="0" applyFont="1" applyFill="1" applyBorder="1" applyAlignment="1">
      <alignment horizontal="center" vertical="center" wrapText="1"/>
    </xf>
    <xf numFmtId="0" fontId="26" fillId="14" borderId="4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4" fontId="16" fillId="0" borderId="1" xfId="1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43" fontId="16" fillId="0" borderId="1" xfId="1" applyFont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ill="1"/>
    <xf numFmtId="10" fontId="9" fillId="0" borderId="1" xfId="0" applyNumberFormat="1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horizontal="center" vertical="center" wrapText="1"/>
    </xf>
    <xf numFmtId="164" fontId="9" fillId="0" borderId="1" xfId="0" applyNumberFormat="1" applyFont="1" applyFill="1" applyBorder="1" applyAlignment="1">
      <alignment horizontal="center" vertical="center" wrapText="1"/>
    </xf>
    <xf numFmtId="43" fontId="9" fillId="0" borderId="1" xfId="0" applyNumberFormat="1" applyFont="1" applyFill="1" applyBorder="1" applyAlignment="1">
      <alignment vertical="center"/>
    </xf>
    <xf numFmtId="10" fontId="9" fillId="0" borderId="1" xfId="2" applyNumberFormat="1" applyFont="1" applyFill="1" applyBorder="1" applyAlignment="1">
      <alignment vertical="center"/>
    </xf>
    <xf numFmtId="164" fontId="9" fillId="0" borderId="1" xfId="1" applyNumberFormat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 vertical="center" wrapText="1"/>
    </xf>
    <xf numFmtId="0" fontId="31" fillId="15" borderId="0" xfId="0" applyFont="1" applyFill="1" applyAlignment="1">
      <alignment horizont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0" fillId="0" borderId="0" xfId="1" applyNumberFormat="1" applyFont="1" applyFill="1" applyBorder="1" applyAlignment="1">
      <alignment horizontal="left"/>
    </xf>
    <xf numFmtId="164" fontId="10" fillId="0" borderId="1" xfId="1" applyNumberFormat="1" applyFont="1" applyFill="1" applyBorder="1" applyAlignment="1">
      <alignment horizontal="left"/>
    </xf>
    <xf numFmtId="164" fontId="10" fillId="0" borderId="1" xfId="1" applyNumberFormat="1" applyFont="1" applyFill="1" applyBorder="1" applyAlignment="1">
      <alignment horizontal="center"/>
    </xf>
    <xf numFmtId="164" fontId="9" fillId="0" borderId="1" xfId="1" applyNumberFormat="1" applyFont="1" applyFill="1" applyBorder="1" applyAlignment="1">
      <alignment horizontal="center"/>
    </xf>
    <xf numFmtId="164" fontId="9" fillId="0" borderId="0" xfId="1" applyNumberFormat="1" applyFont="1" applyFill="1" applyBorder="1" applyAlignment="1">
      <alignment horizontal="left"/>
    </xf>
    <xf numFmtId="164" fontId="9" fillId="0" borderId="1" xfId="1" applyNumberFormat="1" applyFont="1" applyFill="1" applyBorder="1" applyAlignment="1">
      <alignment horizontal="left"/>
    </xf>
    <xf numFmtId="43" fontId="10" fillId="0" borderId="0" xfId="0" applyNumberFormat="1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Fill="1"/>
    <xf numFmtId="43" fontId="0" fillId="0" borderId="1" xfId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left" vertical="center" wrapText="1"/>
    </xf>
    <xf numFmtId="10" fontId="9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14" fontId="9" fillId="0" borderId="1" xfId="0" applyNumberFormat="1" applyFont="1" applyFill="1" applyBorder="1" applyAlignment="1">
      <alignment horizontal="left" vertical="center" wrapText="1"/>
    </xf>
    <xf numFmtId="43" fontId="9" fillId="0" borderId="1" xfId="0" applyNumberFormat="1" applyFont="1" applyFill="1" applyBorder="1" applyAlignment="1">
      <alignment horizontal="left" vertical="center" wrapText="1"/>
    </xf>
    <xf numFmtId="9" fontId="9" fillId="0" borderId="1" xfId="0" applyNumberFormat="1" applyFont="1" applyFill="1" applyBorder="1" applyAlignment="1">
      <alignment horizontal="left" vertical="center" wrapText="1"/>
    </xf>
    <xf numFmtId="164" fontId="9" fillId="0" borderId="1" xfId="1" applyNumberFormat="1" applyFont="1" applyFill="1" applyBorder="1" applyAlignment="1">
      <alignment horizontal="left" vertical="center"/>
    </xf>
    <xf numFmtId="43" fontId="9" fillId="0" borderId="1" xfId="1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10" fontId="9" fillId="0" borderId="1" xfId="2" applyNumberFormat="1" applyFont="1" applyFill="1" applyBorder="1" applyAlignment="1">
      <alignment horizontal="left" vertical="center" wrapText="1"/>
    </xf>
    <xf numFmtId="9" fontId="9" fillId="0" borderId="1" xfId="2" applyFont="1" applyFill="1" applyBorder="1" applyAlignment="1">
      <alignment horizontal="left" vertical="center" wrapText="1"/>
    </xf>
    <xf numFmtId="14" fontId="10" fillId="0" borderId="1" xfId="0" applyNumberFormat="1" applyFont="1" applyFill="1" applyBorder="1" applyAlignment="1">
      <alignment horizontal="left"/>
    </xf>
    <xf numFmtId="0" fontId="10" fillId="0" borderId="1" xfId="0" applyFont="1" applyFill="1" applyBorder="1" applyAlignment="1">
      <alignment horizontal="left"/>
    </xf>
    <xf numFmtId="0" fontId="0" fillId="0" borderId="1" xfId="0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10" fontId="9" fillId="0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Fill="1" applyBorder="1" applyAlignment="1">
      <alignment horizontal="left" vertical="center" wrapText="1"/>
    </xf>
    <xf numFmtId="43" fontId="9" fillId="0" borderId="1" xfId="0" applyNumberFormat="1" applyFont="1" applyFill="1" applyBorder="1" applyAlignment="1">
      <alignment horizontal="left" vertical="center"/>
    </xf>
    <xf numFmtId="43" fontId="9" fillId="0" borderId="1" xfId="0" applyNumberFormat="1" applyFont="1" applyFill="1" applyBorder="1" applyAlignment="1">
      <alignment vertical="center" wrapText="1"/>
    </xf>
    <xf numFmtId="14" fontId="0" fillId="0" borderId="1" xfId="0" applyNumberFormat="1" applyFill="1" applyBorder="1" applyAlignment="1">
      <alignment vertical="center" wrapText="1"/>
    </xf>
    <xf numFmtId="43" fontId="9" fillId="0" borderId="3" xfId="0" applyNumberFormat="1" applyFont="1" applyFill="1" applyBorder="1" applyAlignment="1">
      <alignment vertical="center" wrapText="1"/>
    </xf>
    <xf numFmtId="43" fontId="9" fillId="0" borderId="4" xfId="0" applyNumberFormat="1" applyFont="1" applyFill="1" applyBorder="1" applyAlignment="1">
      <alignment vertical="center" wrapText="1"/>
    </xf>
    <xf numFmtId="43" fontId="9" fillId="0" borderId="5" xfId="0" applyNumberFormat="1" applyFont="1" applyFill="1" applyBorder="1" applyAlignment="1">
      <alignment vertical="center" wrapText="1"/>
    </xf>
    <xf numFmtId="164" fontId="0" fillId="0" borderId="1" xfId="0" applyNumberFormat="1" applyFill="1" applyBorder="1" applyAlignment="1">
      <alignment horizontal="center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9" fontId="0" fillId="0" borderId="1" xfId="0" applyNumberFormat="1" applyFill="1" applyBorder="1" applyAlignment="1">
      <alignment horizontal="left"/>
    </xf>
    <xf numFmtId="10" fontId="9" fillId="0" borderId="3" xfId="0" applyNumberFormat="1" applyFont="1" applyFill="1" applyBorder="1" applyAlignment="1">
      <alignment horizontal="left" vertical="center"/>
    </xf>
    <xf numFmtId="10" fontId="9" fillId="0" borderId="4" xfId="0" applyNumberFormat="1" applyFont="1" applyFill="1" applyBorder="1" applyAlignment="1">
      <alignment horizontal="left" vertical="center"/>
    </xf>
    <xf numFmtId="10" fontId="9" fillId="0" borderId="5" xfId="0" applyNumberFormat="1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BD39604E-B4DB-46CA-9D08-369444986E04}"/>
    <cellStyle name="Percent" xfId="2" builtinId="5"/>
  </cellStyles>
  <dxfs count="0"/>
  <tableStyles count="0" defaultTableStyle="TableStyleMedium2" defaultPivotStyle="PivotStyleLight16"/>
  <colors>
    <mruColors>
      <color rgb="FF8DCCFB"/>
      <color rgb="FF27FDBB"/>
      <color rgb="FFEB9C0F"/>
      <color rgb="FF8F9CC7"/>
      <color rgb="FF5EE8B7"/>
      <color rgb="FFFFFE94"/>
      <color rgb="FFF5C517"/>
      <color rgb="FFFAE3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chinthani_georgesteuart_lk/Documents/Chinthani/Group%20Treasury/Treasury%20Report%20format_GS%20Ticketing.xlsx" TargetMode="External"/><Relationship Id="rId2" Type="http://schemas.openxmlformats.org/officeDocument/2006/relationships/externalLinkPath" Target="https://georgesteuart-my.sharepoint.com/personal/chinthani_georgesteuart_lk/Documents/Chinthani/Group%20Treasury/Treasury%20Report%20format_GS%20Ticketing.xlsx" TargetMode="External"/><Relationship Id="rId1" Type="http://schemas.openxmlformats.org/officeDocument/2006/relationships/externalLinkPath" Target="/personal/chinthani_georgesteuart_lk/Documents/Chinthani/Group%20Treasury/Treasury%20Report%20format_GS%20Ticke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Annexure1"/>
    </sheetNames>
    <sheetDataSet>
      <sheetData sheetId="0" refreshError="1"/>
      <sheetData sheetId="1">
        <row r="14">
          <cell r="C14">
            <v>358354626.85000002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inthani Premachandra" id="{045E6505-60B7-4377-82A6-8B707C29F594}" userId="S::chinthani@georgesteuart.lk::85b2fa2f-bd61-4501-be39-5ae1fc7eaf60" providerId="AD"/>
  <person displayName="Gayani Pathirana" id="{3A731E38-DEF3-4AF8-882C-0CC14E944F75}" userId="S::gayani.pathirana@gsinsurance.lk::250cf873-d2af-4a14-80a0-067586a7626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3" dT="2026-05-14T10:05:00.65" personId="{045E6505-60B7-4377-82A6-8B707C29F594}" id="{6ED0FA72-80D0-4A8A-B2C0-7F043C19F619}">
    <text>GSH Opening balances are as at March</text>
  </threadedComment>
  <threadedComment ref="F54" dT="2026-05-14T10:56:16.76" personId="{045E6505-60B7-4377-82A6-8B707C29F594}" id="{1877ECCD-C081-404B-95D8-337E2ABBAE90}">
    <text>GS Travels balances as at 22/04/2026</text>
  </threadedComment>
  <threadedComment ref="I54" dT="2026-05-14T10:56:40.64" personId="{045E6505-60B7-4377-82A6-8B707C29F594}" id="{12FD27CF-C703-47D1-BEB8-9B9B116C67AA}">
    <text>GS Travels balances are as at 04/05/2026</text>
  </threadedComment>
  <threadedComment ref="K54" dT="2026-05-14T10:57:22.29" personId="{045E6505-60B7-4377-82A6-8B707C29F594}" id="{E16728AF-E49B-4843-9F7E-337C7A80DC2A}">
    <text>GS Travels balances are as at 04/05/2026</text>
  </threadedComment>
  <threadedComment ref="K64" dT="2026-05-18T04:07:45.25" personId="{045E6505-60B7-4377-82A6-8B707C29F594}" id="{A4726803-5F5D-4860-B159-226FCD5D0283}">
    <text>GS Solutions balances as at 30.04.2026</text>
  </threadedComment>
  <threadedComment ref="F78" dT="2026-05-14T11:18:27.66" personId="{045E6505-60B7-4377-82A6-8B707C29F594}" id="{9E6CA5E6-0D9E-4DAA-9267-966674E20055}">
    <text>Citrus balances as at April 2026</text>
  </threadedComment>
  <threadedComment ref="K78" dT="2026-05-14T11:18:50.62" personId="{045E6505-60B7-4377-82A6-8B707C29F594}" id="{458B3220-08F6-44DF-9EF0-47C87C2D4509}">
    <text xml:space="preserve">Citrus balances as at April 2026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6" dT="2026-05-14T10:11:42.67" personId="{045E6505-60B7-4377-82A6-8B707C29F594}" id="{C757E061-B81F-47EA-9149-11516E19F2C9}">
    <text>GSH balances are as at 08th May’26</text>
  </threadedComment>
  <threadedComment ref="I10" dT="2026-05-14T10:22:46.52" personId="{045E6505-60B7-4377-82A6-8B707C29F594}" id="{01AF7156-0A0F-4CF3-A452-C1FDC87B7939}">
    <text xml:space="preserve">GSTeas balances are as at 31st March’26
</text>
  </threadedComment>
  <threadedComment ref="I18" dT="2026-05-14T10:30:31.98" personId="{045E6505-60B7-4377-82A6-8B707C29F594}" id="{ADF7536C-B2D8-4998-AFFF-47BCEFEDF358}">
    <text>GS Travels balances as at 04/05/2026</text>
  </threadedComment>
  <threadedComment ref="L41" dT="2026-05-14T10:11:09.72" personId="{045E6505-60B7-4377-82A6-8B707C29F594}" id="{4290F312-CF10-45B6-A524-C9B0A4AB3B1C}">
    <text>GSH balances are as at 08th May’26</text>
  </threadedComment>
  <threadedComment ref="L43" dT="2026-05-14T10:25:40.09" personId="{045E6505-60B7-4377-82A6-8B707C29F594}" id="{0BBB21B9-881D-44BE-A1FA-7870B7955481}">
    <text>GS Teas balances are as at 31st March 2026</text>
  </threadedComment>
  <threadedComment ref="L87" dT="2026-05-14T11:00:19.53" personId="{045E6505-60B7-4377-82A6-8B707C29F594}" id="{D26AE4D3-88BA-4A43-9F3F-148A71D572CC}">
    <text>GS Travels balances as at 04/05/2026</text>
  </threadedComment>
  <threadedComment ref="L91" dT="2026-05-18T04:08:16.45" personId="{045E6505-60B7-4377-82A6-8B707C29F594}" id="{EF226F22-EEB5-4635-AA41-783AC67FEDCF}">
    <text>GS Solutions balances as at 07th May 2026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0" dT="2026-05-14T10:46:22.92" personId="{045E6505-60B7-4377-82A6-8B707C29F594}" id="{0DAACF00-42B6-4FCE-986A-26B5091AA47F}">
    <text>USD 400,000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53" dT="2025-12-19T05:35:42.54" personId="{3A731E38-DEF3-4AF8-882C-0CC14E944F75}" id="{FFC9A290-CC20-46EF-8C58-95273FBD6E60}">
    <text>400,000 USD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6B242-3AF7-4DFB-9846-22698CEC628D}">
  <sheetPr>
    <tabColor rgb="FF92D050"/>
  </sheetPr>
  <dimension ref="A1:M118"/>
  <sheetViews>
    <sheetView showGridLines="0" tabSelected="1" view="pageBreakPreview" zoomScale="60" zoomScaleNormal="100" workbookViewId="0">
      <pane xSplit="1" ySplit="4" topLeftCell="B5" activePane="bottomRight" state="frozen"/>
      <selection activeCell="B12" sqref="B12"/>
      <selection pane="topRight" activeCell="B12" sqref="B12"/>
      <selection pane="bottomLeft" activeCell="B12" sqref="B12"/>
      <selection pane="bottomRight" activeCell="F5" sqref="F5:M117"/>
    </sheetView>
  </sheetViews>
  <sheetFormatPr defaultRowHeight="14.5" x14ac:dyDescent="0.35"/>
  <cols>
    <col min="1" max="1" width="14.81640625" customWidth="1"/>
    <col min="2" max="2" width="11.36328125" bestFit="1" customWidth="1"/>
    <col min="3" max="3" width="15.54296875" bestFit="1" customWidth="1"/>
    <col min="4" max="4" width="18.36328125" bestFit="1" customWidth="1"/>
    <col min="5" max="5" width="8.1796875" bestFit="1" customWidth="1"/>
    <col min="6" max="6" width="14.54296875" bestFit="1" customWidth="1"/>
    <col min="7" max="7" width="14.90625" bestFit="1" customWidth="1"/>
    <col min="8" max="8" width="14.54296875" bestFit="1" customWidth="1"/>
    <col min="9" max="9" width="14.90625" bestFit="1" customWidth="1"/>
    <col min="10" max="10" width="13.6328125" bestFit="1" customWidth="1"/>
    <col min="11" max="11" width="14.81640625" customWidth="1"/>
    <col min="12" max="12" width="1.54296875" customWidth="1"/>
    <col min="13" max="13" width="10.36328125" bestFit="1" customWidth="1"/>
  </cols>
  <sheetData>
    <row r="1" spans="1:13" ht="21" x14ac:dyDescent="0.35">
      <c r="A1" s="4" t="s">
        <v>0</v>
      </c>
    </row>
    <row r="2" spans="1:13" ht="16" x14ac:dyDescent="0.35">
      <c r="A2" s="1" t="s">
        <v>1</v>
      </c>
    </row>
    <row r="3" spans="1:13" ht="16" x14ac:dyDescent="0.35">
      <c r="A3" s="1"/>
    </row>
    <row r="4" spans="1:13" s="74" customFormat="1" ht="33.5" customHeight="1" x14ac:dyDescent="0.35">
      <c r="A4" s="234" t="s">
        <v>2</v>
      </c>
      <c r="B4" s="234" t="s">
        <v>3</v>
      </c>
      <c r="C4" s="234" t="s">
        <v>4</v>
      </c>
      <c r="D4" s="234" t="s">
        <v>5</v>
      </c>
      <c r="E4" s="234" t="s">
        <v>6</v>
      </c>
      <c r="F4" s="234" t="s">
        <v>365</v>
      </c>
      <c r="G4" s="234" t="s">
        <v>7</v>
      </c>
      <c r="H4" s="234" t="s">
        <v>8</v>
      </c>
      <c r="I4" s="234" t="s">
        <v>9</v>
      </c>
      <c r="J4" s="234" t="s">
        <v>10</v>
      </c>
      <c r="K4" s="234" t="s">
        <v>366</v>
      </c>
      <c r="L4" s="235"/>
      <c r="M4" s="229" t="str">
        <f>'1 &amp; 3 GSIB'!L4</f>
        <v>USD closing Balance</v>
      </c>
    </row>
    <row r="5" spans="1:13" s="238" customFormat="1" ht="15" customHeight="1" x14ac:dyDescent="0.35">
      <c r="A5" s="373" t="str">
        <f>'1 &amp; 3 GSIB'!A5</f>
        <v>George Steuart Insurance Brokers (Pvt) Ltd</v>
      </c>
      <c r="B5" s="230" t="str">
        <f>'1 &amp; 3 GSIB'!B5</f>
        <v xml:space="preserve">Cargills </v>
      </c>
      <c r="C5" s="230" t="str">
        <f>'1 &amp; 3 GSIB'!C5</f>
        <v>Current</v>
      </c>
      <c r="D5" s="230">
        <f>'1 &amp; 3 GSIB'!D5</f>
        <v>1950000702</v>
      </c>
      <c r="E5" s="230" t="str">
        <f>'1 &amp; 3 GSIB'!E5</f>
        <v>LKR</v>
      </c>
      <c r="F5" s="427"/>
      <c r="G5" s="427"/>
      <c r="H5" s="427"/>
      <c r="I5" s="427"/>
      <c r="J5" s="427"/>
      <c r="K5" s="427"/>
      <c r="L5" s="428"/>
      <c r="M5" s="429"/>
    </row>
    <row r="6" spans="1:13" s="238" customFormat="1" ht="15" customHeight="1" x14ac:dyDescent="0.35">
      <c r="A6" s="373"/>
      <c r="B6" s="230" t="str">
        <f>'1 &amp; 3 GSIB'!B6</f>
        <v xml:space="preserve">Cargills </v>
      </c>
      <c r="C6" s="230" t="str">
        <f>'1 &amp; 3 GSIB'!C6</f>
        <v>Higher Saving</v>
      </c>
      <c r="D6" s="230" t="str">
        <f>'1 &amp; 3 GSIB'!D6</f>
        <v>0011 0700 6091</v>
      </c>
      <c r="E6" s="230" t="str">
        <f>'1 &amp; 3 GSIB'!E6</f>
        <v>LKR</v>
      </c>
      <c r="F6" s="427"/>
      <c r="G6" s="427"/>
      <c r="H6" s="427"/>
      <c r="I6" s="427"/>
      <c r="J6" s="427"/>
      <c r="K6" s="427"/>
      <c r="L6" s="428"/>
      <c r="M6" s="429"/>
    </row>
    <row r="7" spans="1:13" s="238" customFormat="1" ht="15" customHeight="1" x14ac:dyDescent="0.35">
      <c r="A7" s="373"/>
      <c r="B7" s="230" t="str">
        <f>'1 &amp; 3 GSIB'!B7</f>
        <v xml:space="preserve">Cargills </v>
      </c>
      <c r="C7" s="230" t="str">
        <f>'1 &amp; 3 GSIB'!C7</f>
        <v>Saving</v>
      </c>
      <c r="D7" s="230">
        <f>'1 &amp; 3 GSIB'!D7</f>
        <v>1103000201</v>
      </c>
      <c r="E7" s="230" t="str">
        <f>'1 &amp; 3 GSIB'!E7</f>
        <v>LKR</v>
      </c>
      <c r="F7" s="427"/>
      <c r="G7" s="427"/>
      <c r="H7" s="427"/>
      <c r="I7" s="427"/>
      <c r="J7" s="427"/>
      <c r="K7" s="427"/>
      <c r="L7" s="428"/>
      <c r="M7" s="429"/>
    </row>
    <row r="8" spans="1:13" s="238" customFormat="1" ht="15" customHeight="1" x14ac:dyDescent="0.35">
      <c r="A8" s="373"/>
      <c r="B8" s="230" t="str">
        <f>'1 &amp; 3 GSIB'!B8</f>
        <v xml:space="preserve">Cargills </v>
      </c>
      <c r="C8" s="230" t="str">
        <f>'1 &amp; 3 GSIB'!C8</f>
        <v>Saving</v>
      </c>
      <c r="D8" s="230" t="str">
        <f>'1 &amp; 3 GSIB'!D8</f>
        <v>0011 0700 9604</v>
      </c>
      <c r="E8" s="230" t="str">
        <f>'1 &amp; 3 GSIB'!E8</f>
        <v>LKR</v>
      </c>
      <c r="F8" s="427"/>
      <c r="G8" s="427"/>
      <c r="H8" s="427"/>
      <c r="I8" s="427"/>
      <c r="J8" s="427"/>
      <c r="K8" s="427"/>
      <c r="L8" s="428"/>
      <c r="M8" s="429"/>
    </row>
    <row r="9" spans="1:13" s="238" customFormat="1" ht="15" customHeight="1" x14ac:dyDescent="0.35">
      <c r="A9" s="373"/>
      <c r="B9" s="230" t="str">
        <f>'1 &amp; 3 GSIB'!B9</f>
        <v>NDB</v>
      </c>
      <c r="C9" s="230" t="str">
        <f>'1 &amp; 3 GSIB'!C9</f>
        <v>Saving</v>
      </c>
      <c r="D9" s="231">
        <f>'1 &amp; 3 GSIB'!D9</f>
        <v>106590006893</v>
      </c>
      <c r="E9" s="230" t="str">
        <f>'1 &amp; 3 GSIB'!E9</f>
        <v>USD</v>
      </c>
      <c r="F9" s="427"/>
      <c r="G9" s="427"/>
      <c r="H9" s="427"/>
      <c r="I9" s="427"/>
      <c r="J9" s="427"/>
      <c r="K9" s="427"/>
      <c r="L9" s="428"/>
      <c r="M9" s="429"/>
    </row>
    <row r="10" spans="1:13" s="238" customFormat="1" ht="15" customHeight="1" x14ac:dyDescent="0.35">
      <c r="A10" s="373"/>
      <c r="B10" s="230" t="str">
        <f>'1 &amp; 3 GSIB'!B10</f>
        <v>NDB</v>
      </c>
      <c r="C10" s="230" t="str">
        <f>'1 &amp; 3 GSIB'!C10</f>
        <v>Current</v>
      </c>
      <c r="D10" s="231">
        <f>'1 &amp; 3 GSIB'!D10</f>
        <v>101001103866</v>
      </c>
      <c r="E10" s="230" t="str">
        <f>'1 &amp; 3 GSIB'!E10</f>
        <v>LKR</v>
      </c>
      <c r="F10" s="427"/>
      <c r="G10" s="427"/>
      <c r="H10" s="427"/>
      <c r="I10" s="427"/>
      <c r="J10" s="427"/>
      <c r="K10" s="427"/>
      <c r="L10" s="428"/>
      <c r="M10" s="429"/>
    </row>
    <row r="11" spans="1:13" s="238" customFormat="1" ht="15" customHeight="1" x14ac:dyDescent="0.35">
      <c r="A11" s="373"/>
      <c r="B11" s="230" t="str">
        <f>'1 &amp; 3 GSIB'!B11</f>
        <v>BOC</v>
      </c>
      <c r="C11" s="230" t="str">
        <f>'1 &amp; 3 GSIB'!C11</f>
        <v>Saving</v>
      </c>
      <c r="D11" s="230">
        <f>'1 &amp; 3 GSIB'!D11</f>
        <v>91834522</v>
      </c>
      <c r="E11" s="230" t="str">
        <f>'1 &amp; 3 GSIB'!E11</f>
        <v>LKR</v>
      </c>
      <c r="F11" s="427"/>
      <c r="G11" s="427"/>
      <c r="H11" s="427"/>
      <c r="I11" s="427"/>
      <c r="J11" s="427"/>
      <c r="K11" s="427"/>
      <c r="L11" s="428"/>
      <c r="M11" s="429"/>
    </row>
    <row r="12" spans="1:13" s="238" customFormat="1" ht="15" customHeight="1" x14ac:dyDescent="0.35">
      <c r="A12" s="373"/>
      <c r="B12" s="230" t="str">
        <f>'1 &amp; 3 GSIB'!B12</f>
        <v>BOC</v>
      </c>
      <c r="C12" s="230" t="str">
        <f>'1 &amp; 3 GSIB'!C12</f>
        <v>Current</v>
      </c>
      <c r="D12" s="230">
        <f>'1 &amp; 3 GSIB'!D12</f>
        <v>91834503</v>
      </c>
      <c r="E12" s="230" t="str">
        <f>'1 &amp; 3 GSIB'!E12</f>
        <v>LKR</v>
      </c>
      <c r="F12" s="427"/>
      <c r="G12" s="427"/>
      <c r="H12" s="427"/>
      <c r="I12" s="427"/>
      <c r="J12" s="430"/>
      <c r="K12" s="427"/>
      <c r="L12" s="428"/>
      <c r="M12" s="429"/>
    </row>
    <row r="13" spans="1:13" s="238" customFormat="1" ht="15" customHeight="1" x14ac:dyDescent="0.35">
      <c r="A13" s="373"/>
      <c r="B13" s="230" t="str">
        <f>'1 &amp; 3 GSIB'!B13</f>
        <v>Sampath</v>
      </c>
      <c r="C13" s="230" t="str">
        <f>'1 &amp; 3 GSIB'!C13</f>
        <v>Saving</v>
      </c>
      <c r="D13" s="230" t="str">
        <f>'1 &amp; 3 GSIB'!D13</f>
        <v>5034 2000 3627</v>
      </c>
      <c r="E13" s="230" t="str">
        <f>'1 &amp; 3 GSIB'!E13</f>
        <v>USD</v>
      </c>
      <c r="F13" s="427"/>
      <c r="G13" s="427"/>
      <c r="H13" s="427"/>
      <c r="I13" s="427"/>
      <c r="J13" s="430"/>
      <c r="K13" s="427"/>
      <c r="L13" s="428"/>
      <c r="M13" s="429"/>
    </row>
    <row r="14" spans="1:13" s="238" customFormat="1" ht="15" customHeight="1" x14ac:dyDescent="0.35">
      <c r="A14" s="373"/>
      <c r="B14" s="230" t="str">
        <f>'1 &amp; 3 GSIB'!B14</f>
        <v>Sampath</v>
      </c>
      <c r="C14" s="230" t="str">
        <f>'1 &amp; 3 GSIB'!C14</f>
        <v>Current</v>
      </c>
      <c r="D14" s="230" t="str">
        <f>'1 &amp; 3 GSIB'!D14</f>
        <v xml:space="preserve"> 0034 1001 2218</v>
      </c>
      <c r="E14" s="230" t="str">
        <f>'1 &amp; 3 GSIB'!E14</f>
        <v>LKR</v>
      </c>
      <c r="F14" s="427"/>
      <c r="G14" s="427"/>
      <c r="H14" s="427"/>
      <c r="I14" s="427"/>
      <c r="J14" s="430"/>
      <c r="K14" s="427"/>
      <c r="L14" s="428"/>
      <c r="M14" s="429"/>
    </row>
    <row r="15" spans="1:13" s="238" customFormat="1" ht="15" customHeight="1" x14ac:dyDescent="0.35">
      <c r="A15" s="373"/>
      <c r="B15" s="230" t="str">
        <f>'1 &amp; 3 GSIB'!B15</f>
        <v>Seylan</v>
      </c>
      <c r="C15" s="230" t="str">
        <f>'1 &amp; 3 GSIB'!C15</f>
        <v>Current</v>
      </c>
      <c r="D15" s="230" t="str">
        <f>'1 &amp; 3 GSIB'!D15</f>
        <v>0860 12728996 001</v>
      </c>
      <c r="E15" s="230" t="str">
        <f>'1 &amp; 3 GSIB'!E15</f>
        <v>LKR</v>
      </c>
      <c r="F15" s="427"/>
      <c r="G15" s="427"/>
      <c r="H15" s="427"/>
      <c r="I15" s="427"/>
      <c r="J15" s="430"/>
      <c r="K15" s="427"/>
      <c r="L15" s="428"/>
      <c r="M15" s="429"/>
    </row>
    <row r="16" spans="1:13" s="238" customFormat="1" ht="15" customHeight="1" x14ac:dyDescent="0.35">
      <c r="A16" s="373"/>
      <c r="B16" s="230" t="str">
        <f>'1 &amp; 3 GSIB'!B16</f>
        <v>Seylan</v>
      </c>
      <c r="C16" s="230" t="str">
        <f>'1 &amp; 3 GSIB'!C16</f>
        <v>Current</v>
      </c>
      <c r="D16" s="230" t="str">
        <f>'1 &amp; 3 GSIB'!D16</f>
        <v>0860 12728996 002</v>
      </c>
      <c r="E16" s="230" t="str">
        <f>'1 &amp; 3 GSIB'!E16</f>
        <v>LKR</v>
      </c>
      <c r="F16" s="427"/>
      <c r="G16" s="427"/>
      <c r="H16" s="427"/>
      <c r="I16" s="427"/>
      <c r="J16" s="430"/>
      <c r="K16" s="427"/>
      <c r="L16" s="428"/>
      <c r="M16" s="429"/>
    </row>
    <row r="17" spans="1:13" s="238" customFormat="1" ht="15" customHeight="1" x14ac:dyDescent="0.35">
      <c r="A17" s="373"/>
      <c r="B17" s="230" t="str">
        <f>'1 &amp; 3 GSIB'!B17</f>
        <v>Seylan</v>
      </c>
      <c r="C17" s="230" t="str">
        <f>'1 &amp; 3 GSIB'!C17</f>
        <v>Saving</v>
      </c>
      <c r="D17" s="230" t="str">
        <f>'1 &amp; 3 GSIB'!D17</f>
        <v xml:space="preserve"> 0860 12728996 066</v>
      </c>
      <c r="E17" s="230" t="str">
        <f>'1 &amp; 3 GSIB'!E17</f>
        <v>USD</v>
      </c>
      <c r="F17" s="427"/>
      <c r="G17" s="427"/>
      <c r="H17" s="427"/>
      <c r="I17" s="427"/>
      <c r="J17" s="430"/>
      <c r="K17" s="427"/>
      <c r="L17" s="428"/>
      <c r="M17" s="429"/>
    </row>
    <row r="18" spans="1:13" s="238" customFormat="1" ht="15" customHeight="1" x14ac:dyDescent="0.35">
      <c r="A18" s="373"/>
      <c r="B18" s="230" t="str">
        <f>'1 &amp; 3 GSIB'!B18</f>
        <v>Seylan</v>
      </c>
      <c r="C18" s="230" t="str">
        <f>'1 &amp; 3 GSIB'!C18</f>
        <v>Money Market</v>
      </c>
      <c r="D18" s="230" t="str">
        <f>'1 &amp; 3 GSIB'!D18</f>
        <v xml:space="preserve"> 0860 12728996 123</v>
      </c>
      <c r="E18" s="230" t="str">
        <f>'1 &amp; 3 GSIB'!E18</f>
        <v>LKR</v>
      </c>
      <c r="F18" s="427"/>
      <c r="G18" s="427"/>
      <c r="H18" s="427"/>
      <c r="I18" s="427"/>
      <c r="J18" s="430"/>
      <c r="K18" s="427"/>
      <c r="L18" s="428"/>
      <c r="M18" s="429"/>
    </row>
    <row r="19" spans="1:13" s="238" customFormat="1" ht="15" customHeight="1" x14ac:dyDescent="0.35">
      <c r="A19" s="373"/>
      <c r="B19" s="230" t="str">
        <f>'1 &amp; 3 GSIB'!B19</f>
        <v>Union</v>
      </c>
      <c r="C19" s="230" t="str">
        <f>'1 &amp; 3 GSIB'!C19</f>
        <v>Saving</v>
      </c>
      <c r="D19" s="230" t="str">
        <f>'1 &amp; 3 GSIB'!D19</f>
        <v>0120 2010 0005 6523</v>
      </c>
      <c r="E19" s="230" t="str">
        <f>'1 &amp; 3 GSIB'!E19</f>
        <v>LKR</v>
      </c>
      <c r="F19" s="427"/>
      <c r="G19" s="427"/>
      <c r="H19" s="427"/>
      <c r="I19" s="427"/>
      <c r="J19" s="430"/>
      <c r="K19" s="427"/>
      <c r="L19" s="428"/>
      <c r="M19" s="429"/>
    </row>
    <row r="20" spans="1:13" s="238" customFormat="1" ht="15" customHeight="1" x14ac:dyDescent="0.35">
      <c r="A20" s="373"/>
      <c r="B20" s="230" t="str">
        <f>'1 &amp; 3 GSIB'!B20</f>
        <v>Union</v>
      </c>
      <c r="C20" s="230" t="str">
        <f>'1 &amp; 3 GSIB'!C20</f>
        <v>Current</v>
      </c>
      <c r="D20" s="230" t="str">
        <f>'1 &amp; 3 GSIB'!D20</f>
        <v>0120 1010 0001 6836</v>
      </c>
      <c r="E20" s="230" t="str">
        <f>'1 &amp; 3 GSIB'!E20</f>
        <v>LKR</v>
      </c>
      <c r="F20" s="427"/>
      <c r="G20" s="427"/>
      <c r="H20" s="427"/>
      <c r="I20" s="427"/>
      <c r="J20" s="430"/>
      <c r="K20" s="427"/>
      <c r="L20" s="428"/>
      <c r="M20" s="429"/>
    </row>
    <row r="21" spans="1:13" s="238" customFormat="1" ht="15" customHeight="1" x14ac:dyDescent="0.35">
      <c r="A21" s="373"/>
      <c r="B21" s="230" t="str">
        <f>'1 &amp; 3 GSIB'!B21</f>
        <v>Commercial</v>
      </c>
      <c r="C21" s="230" t="str">
        <f>'1 &amp; 3 GSIB'!C21</f>
        <v>Current</v>
      </c>
      <c r="D21" s="230">
        <f>'1 &amp; 3 GSIB'!D21</f>
        <v>1680025087</v>
      </c>
      <c r="E21" s="230" t="str">
        <f>'1 &amp; 3 GSIB'!E21</f>
        <v>LKR</v>
      </c>
      <c r="F21" s="427"/>
      <c r="G21" s="427"/>
      <c r="H21" s="427"/>
      <c r="I21" s="427"/>
      <c r="J21" s="430"/>
      <c r="K21" s="427"/>
      <c r="L21" s="428"/>
      <c r="M21" s="429"/>
    </row>
    <row r="22" spans="1:13" s="9" customFormat="1" ht="15" customHeight="1" x14ac:dyDescent="0.35">
      <c r="A22" s="373"/>
      <c r="B22" s="220" t="str">
        <f>'1 &amp; 3 GSIB'!B22</f>
        <v>Commercial</v>
      </c>
      <c r="C22" s="220" t="str">
        <f>'1 &amp; 3 GSIB'!C22</f>
        <v>Current</v>
      </c>
      <c r="D22" s="220" t="str">
        <f>'1 &amp; 3 GSIB'!D22</f>
        <v>(1)-1020012908</v>
      </c>
      <c r="E22" s="220" t="str">
        <f>'1 &amp; 3 GSIB'!E22</f>
        <v>LKR</v>
      </c>
      <c r="F22" s="419"/>
      <c r="G22" s="419"/>
      <c r="H22" s="419"/>
      <c r="I22" s="419"/>
      <c r="J22" s="431"/>
      <c r="K22" s="427"/>
      <c r="L22" s="432"/>
      <c r="M22" s="433"/>
    </row>
    <row r="23" spans="1:13" s="238" customFormat="1" x14ac:dyDescent="0.35">
      <c r="A23" s="374" t="s">
        <v>283</v>
      </c>
      <c r="B23" s="239" t="str">
        <f>'1. GSH'!B5</f>
        <v>NDB</v>
      </c>
      <c r="C23" s="240" t="str">
        <f>'1. GSH'!C5</f>
        <v>Current</v>
      </c>
      <c r="D23" s="241" t="str">
        <f>'1. GSH'!D5</f>
        <v>1010 0002 5071</v>
      </c>
      <c r="E23" s="239" t="str">
        <f>'1. GSH'!E5</f>
        <v>LKR</v>
      </c>
      <c r="F23" s="430"/>
      <c r="G23" s="430"/>
      <c r="H23" s="430"/>
      <c r="I23" s="430"/>
      <c r="J23" s="430"/>
      <c r="K23" s="430"/>
      <c r="L23" s="434"/>
      <c r="M23" s="435"/>
    </row>
    <row r="24" spans="1:13" s="238" customFormat="1" x14ac:dyDescent="0.35">
      <c r="A24" s="374"/>
      <c r="B24" s="239" t="str">
        <f>'1. GSH'!B6</f>
        <v>NDB</v>
      </c>
      <c r="C24" s="240" t="str">
        <f>'1. GSH'!C6</f>
        <v>Saving</v>
      </c>
      <c r="D24" s="241" t="str">
        <f>'1. GSH'!D6</f>
        <v>1065-9000-6001</v>
      </c>
      <c r="E24" s="239" t="str">
        <f>'1. GSH'!E6</f>
        <v>USD</v>
      </c>
      <c r="F24" s="430"/>
      <c r="G24" s="430"/>
      <c r="H24" s="430"/>
      <c r="I24" s="430"/>
      <c r="J24" s="430"/>
      <c r="K24" s="430"/>
      <c r="L24" s="434"/>
      <c r="M24" s="435"/>
    </row>
    <row r="25" spans="1:13" s="238" customFormat="1" x14ac:dyDescent="0.35">
      <c r="A25" s="374"/>
      <c r="B25" s="239" t="str">
        <f>'1. GSH'!B7</f>
        <v>DFCC</v>
      </c>
      <c r="C25" s="240" t="str">
        <f>'1. GSH'!C7</f>
        <v>Current</v>
      </c>
      <c r="D25" s="241" t="str">
        <f>'1. GSH'!D7</f>
        <v>102072013996</v>
      </c>
      <c r="E25" s="239" t="str">
        <f>'1. GSH'!E7</f>
        <v>USD</v>
      </c>
      <c r="F25" s="430"/>
      <c r="G25" s="430"/>
      <c r="H25" s="430"/>
      <c r="I25" s="430"/>
      <c r="J25" s="430"/>
      <c r="K25" s="430"/>
      <c r="L25" s="434"/>
      <c r="M25" s="435"/>
    </row>
    <row r="26" spans="1:13" s="238" customFormat="1" x14ac:dyDescent="0.35">
      <c r="A26" s="374"/>
      <c r="B26" s="242" t="str">
        <f>'1. GSH'!B8</f>
        <v>DFCC</v>
      </c>
      <c r="C26" s="337" t="str">
        <f>'1. GSH'!C8</f>
        <v>Current</v>
      </c>
      <c r="D26" s="338" t="str">
        <f>'1. GSH'!D8</f>
        <v>101014573128</v>
      </c>
      <c r="E26" s="242" t="str">
        <f>'1. GSH'!E8</f>
        <v>LKR</v>
      </c>
      <c r="F26" s="430"/>
      <c r="G26" s="430"/>
      <c r="H26" s="430"/>
      <c r="I26" s="430"/>
      <c r="J26" s="430"/>
      <c r="K26" s="430"/>
      <c r="L26" s="434"/>
      <c r="M26" s="435"/>
    </row>
    <row r="27" spans="1:13" s="238" customFormat="1" x14ac:dyDescent="0.35">
      <c r="A27" s="374"/>
      <c r="B27" s="239" t="str">
        <f>'1. GSH'!B9</f>
        <v>Seylan</v>
      </c>
      <c r="C27" s="240" t="str">
        <f>'1. GSH'!C9</f>
        <v>Current</v>
      </c>
      <c r="D27" s="241" t="str">
        <f>'1. GSH'!D9</f>
        <v>0080-13334985-001</v>
      </c>
      <c r="E27" s="239" t="str">
        <f>'1. GSH'!E9</f>
        <v>LKR</v>
      </c>
      <c r="F27" s="430"/>
      <c r="G27" s="430"/>
      <c r="H27" s="430"/>
      <c r="I27" s="430"/>
      <c r="J27" s="430"/>
      <c r="K27" s="430"/>
      <c r="L27" s="434"/>
      <c r="M27" s="435"/>
    </row>
    <row r="28" spans="1:13" s="238" customFormat="1" x14ac:dyDescent="0.35">
      <c r="A28" s="374"/>
      <c r="B28" s="239" t="str">
        <f>'1. GSH'!B10</f>
        <v>Seylan</v>
      </c>
      <c r="C28" s="240" t="str">
        <f>'1. GSH'!C10</f>
        <v>Current</v>
      </c>
      <c r="D28" s="241" t="str">
        <f>'1. GSH'!D10</f>
        <v>0860-13334985002</v>
      </c>
      <c r="E28" s="239" t="str">
        <f>'1. GSH'!E10</f>
        <v>LKR</v>
      </c>
      <c r="F28" s="430"/>
      <c r="G28" s="430"/>
      <c r="H28" s="430"/>
      <c r="I28" s="430"/>
      <c r="J28" s="430"/>
      <c r="K28" s="430"/>
      <c r="L28" s="434"/>
      <c r="M28" s="435"/>
    </row>
    <row r="29" spans="1:13" s="238" customFormat="1" x14ac:dyDescent="0.35">
      <c r="A29" s="374"/>
      <c r="B29" s="239" t="str">
        <f>'1. GSH'!B11</f>
        <v>Sampath</v>
      </c>
      <c r="C29" s="240" t="str">
        <f>'1. GSH'!C11</f>
        <v>Current</v>
      </c>
      <c r="D29" s="241" t="str">
        <f>'1. GSH'!D11</f>
        <v>0091-1000-7245</v>
      </c>
      <c r="E29" s="239" t="str">
        <f>'1. GSH'!E11</f>
        <v>LKR</v>
      </c>
      <c r="F29" s="430"/>
      <c r="G29" s="430"/>
      <c r="H29" s="430"/>
      <c r="I29" s="430"/>
      <c r="J29" s="430"/>
      <c r="K29" s="430"/>
      <c r="L29" s="434"/>
      <c r="M29" s="435"/>
    </row>
    <row r="30" spans="1:13" s="238" customFormat="1" x14ac:dyDescent="0.35">
      <c r="A30" s="374"/>
      <c r="B30" s="239" t="str">
        <f>'1. GSH'!B12</f>
        <v>Sampath</v>
      </c>
      <c r="C30" s="240" t="str">
        <f>'1. GSH'!C12</f>
        <v>Current</v>
      </c>
      <c r="D30" s="241" t="str">
        <f>'1. GSH'!D12</f>
        <v>0009- 3000 -0027</v>
      </c>
      <c r="E30" s="239" t="str">
        <f>'1. GSH'!E12</f>
        <v>LKR</v>
      </c>
      <c r="F30" s="430"/>
      <c r="G30" s="430"/>
      <c r="H30" s="430"/>
      <c r="I30" s="430"/>
      <c r="J30" s="430"/>
      <c r="K30" s="430"/>
      <c r="L30" s="434"/>
      <c r="M30" s="435"/>
    </row>
    <row r="31" spans="1:13" s="238" customFormat="1" x14ac:dyDescent="0.35">
      <c r="A31" s="374"/>
      <c r="B31" s="239" t="str">
        <f>'1. GSH'!B13</f>
        <v>Sampath</v>
      </c>
      <c r="C31" s="240" t="str">
        <f>'1. GSH'!C13</f>
        <v>Current</v>
      </c>
      <c r="D31" s="241" t="str">
        <f>'1. GSH'!D13</f>
        <v>0018 1000 4351</v>
      </c>
      <c r="E31" s="239" t="str">
        <f>'1. GSH'!E13</f>
        <v>LKR</v>
      </c>
      <c r="F31" s="430"/>
      <c r="G31" s="430"/>
      <c r="H31" s="430"/>
      <c r="I31" s="430"/>
      <c r="J31" s="430"/>
      <c r="K31" s="430"/>
      <c r="L31" s="434"/>
      <c r="M31" s="435"/>
    </row>
    <row r="32" spans="1:13" s="238" customFormat="1" x14ac:dyDescent="0.35">
      <c r="A32" s="374"/>
      <c r="B32" s="239" t="str">
        <f>'1. GSH'!B14</f>
        <v>HNB</v>
      </c>
      <c r="C32" s="240" t="str">
        <f>'1. GSH'!C14</f>
        <v>Current</v>
      </c>
      <c r="D32" s="241">
        <f>'1. GSH'!D14</f>
        <v>61010277822</v>
      </c>
      <c r="E32" s="239" t="str">
        <f>'1. GSH'!E14</f>
        <v>LKR</v>
      </c>
      <c r="F32" s="430"/>
      <c r="G32" s="430"/>
      <c r="H32" s="430"/>
      <c r="I32" s="430"/>
      <c r="J32" s="430"/>
      <c r="K32" s="430"/>
      <c r="L32" s="434"/>
      <c r="M32" s="435"/>
    </row>
    <row r="33" spans="1:13" s="238" customFormat="1" x14ac:dyDescent="0.35">
      <c r="A33" s="374"/>
      <c r="B33" s="239" t="str">
        <f>'1. GSH'!B15</f>
        <v>HNB</v>
      </c>
      <c r="C33" s="240" t="str">
        <f>'1. GSH'!C15</f>
        <v>Current</v>
      </c>
      <c r="D33" s="241" t="str">
        <f>'1. GSH'!D15</f>
        <v>0020 1000 3748</v>
      </c>
      <c r="E33" s="239" t="str">
        <f>'1. GSH'!E15</f>
        <v>LKR</v>
      </c>
      <c r="F33" s="430"/>
      <c r="G33" s="430"/>
      <c r="H33" s="430"/>
      <c r="I33" s="430"/>
      <c r="J33" s="430"/>
      <c r="K33" s="430"/>
      <c r="L33" s="434"/>
      <c r="M33" s="435"/>
    </row>
    <row r="34" spans="1:13" s="238" customFormat="1" x14ac:dyDescent="0.35">
      <c r="A34" s="374"/>
      <c r="B34" s="239" t="str">
        <f>'1. GSH'!B16</f>
        <v>Peoples</v>
      </c>
      <c r="C34" s="240" t="str">
        <f>'1. GSH'!C16</f>
        <v>Current</v>
      </c>
      <c r="D34" s="241" t="str">
        <f>'1. GSH'!D16</f>
        <v>4100191976807</v>
      </c>
      <c r="E34" s="239" t="str">
        <f>'1. GSH'!E16</f>
        <v>LKR</v>
      </c>
      <c r="F34" s="430"/>
      <c r="G34" s="430"/>
      <c r="H34" s="430"/>
      <c r="I34" s="430"/>
      <c r="J34" s="430"/>
      <c r="K34" s="430"/>
      <c r="L34" s="434"/>
      <c r="M34" s="435"/>
    </row>
    <row r="35" spans="1:13" s="238" customFormat="1" x14ac:dyDescent="0.35">
      <c r="A35" s="374"/>
      <c r="B35" s="242" t="str">
        <f>'1. GSH'!B17</f>
        <v>BOC</v>
      </c>
      <c r="C35" s="337" t="str">
        <f>'1. GSH'!C17</f>
        <v>Current</v>
      </c>
      <c r="D35" s="338">
        <f>'1. GSH'!D17</f>
        <v>70848912</v>
      </c>
      <c r="E35" s="242" t="str">
        <f>'1. GSH'!E17</f>
        <v>LKR</v>
      </c>
      <c r="F35" s="430"/>
      <c r="G35" s="430"/>
      <c r="H35" s="430"/>
      <c r="I35" s="430"/>
      <c r="J35" s="430"/>
      <c r="K35" s="430"/>
      <c r="L35" s="434"/>
      <c r="M35" s="435"/>
    </row>
    <row r="36" spans="1:13" s="238" customFormat="1" x14ac:dyDescent="0.35">
      <c r="A36" s="374"/>
      <c r="B36" s="239" t="str">
        <f>'1. GSH'!B18</f>
        <v>Comm Bank</v>
      </c>
      <c r="C36" s="240" t="str">
        <f>'1. GSH'!C18</f>
        <v>Current</v>
      </c>
      <c r="D36" s="241">
        <f>'1. GSH'!D18</f>
        <v>2020045110</v>
      </c>
      <c r="E36" s="239" t="str">
        <f>'1. GSH'!E18</f>
        <v>LKR</v>
      </c>
      <c r="F36" s="430"/>
      <c r="G36" s="430"/>
      <c r="H36" s="430"/>
      <c r="I36" s="430"/>
      <c r="J36" s="430"/>
      <c r="K36" s="430"/>
      <c r="L36" s="434"/>
      <c r="M36" s="435"/>
    </row>
    <row r="37" spans="1:13" s="238" customFormat="1" x14ac:dyDescent="0.35">
      <c r="A37" s="374"/>
      <c r="B37" s="239" t="str">
        <f>'1. GSH'!B19</f>
        <v>Comm Bank</v>
      </c>
      <c r="C37" s="240" t="str">
        <f>'1. GSH'!C19</f>
        <v>MMS</v>
      </c>
      <c r="D37" s="241">
        <f>'1. GSH'!D19</f>
        <v>1020012905</v>
      </c>
      <c r="E37" s="239" t="str">
        <f>'1. GSH'!E19</f>
        <v>LKR</v>
      </c>
      <c r="F37" s="430"/>
      <c r="G37" s="430"/>
      <c r="H37" s="430"/>
      <c r="I37" s="430"/>
      <c r="J37" s="430"/>
      <c r="K37" s="430"/>
      <c r="L37" s="434"/>
      <c r="M37" s="435"/>
    </row>
    <row r="38" spans="1:13" s="238" customFormat="1" x14ac:dyDescent="0.35">
      <c r="A38" s="375" t="s">
        <v>204</v>
      </c>
      <c r="B38" s="232" t="str">
        <f>'1 &amp; 3 GST'!B7</f>
        <v>BOC</v>
      </c>
      <c r="C38" s="232" t="str">
        <f>'1 &amp; 3 GST'!C7</f>
        <v>C/A</v>
      </c>
      <c r="D38" s="232">
        <f>'1 &amp; 3 GST'!D7</f>
        <v>7230989</v>
      </c>
      <c r="E38" s="232" t="str">
        <f>'1 &amp; 3 GST'!E7</f>
        <v>LKR</v>
      </c>
      <c r="F38" s="430"/>
      <c r="G38" s="430"/>
      <c r="H38" s="430"/>
      <c r="I38" s="430"/>
      <c r="J38" s="430"/>
      <c r="K38" s="430"/>
      <c r="L38" s="435"/>
      <c r="M38" s="435"/>
    </row>
    <row r="39" spans="1:13" s="238" customFormat="1" x14ac:dyDescent="0.35">
      <c r="A39" s="375"/>
      <c r="B39" s="232" t="str">
        <f>'1 &amp; 3 GST'!B8</f>
        <v>BOC</v>
      </c>
      <c r="C39" s="232" t="str">
        <f>'1 &amp; 3 GST'!C8</f>
        <v>BFCA</v>
      </c>
      <c r="D39" s="232">
        <f>'1 &amp; 3 GST'!D8</f>
        <v>7231039</v>
      </c>
      <c r="E39" s="232" t="str">
        <f>'1 &amp; 3 GST'!E8</f>
        <v>USD</v>
      </c>
      <c r="F39" s="430"/>
      <c r="G39" s="430"/>
      <c r="H39" s="430"/>
      <c r="I39" s="430"/>
      <c r="J39" s="430"/>
      <c r="K39" s="430"/>
      <c r="L39" s="435"/>
      <c r="M39" s="435"/>
    </row>
    <row r="40" spans="1:13" s="238" customFormat="1" x14ac:dyDescent="0.35">
      <c r="A40" s="375"/>
      <c r="B40" s="232" t="str">
        <f>'1 &amp; 3 GST'!B9</f>
        <v>BOC</v>
      </c>
      <c r="C40" s="232" t="str">
        <f>'1 &amp; 3 GST'!C9</f>
        <v>BLA</v>
      </c>
      <c r="D40" s="232">
        <f>'1 &amp; 3 GST'!D9</f>
        <v>88359063</v>
      </c>
      <c r="E40" s="232" t="str">
        <f>'1 &amp; 3 GST'!E9</f>
        <v>USD</v>
      </c>
      <c r="F40" s="430"/>
      <c r="G40" s="430"/>
      <c r="H40" s="430"/>
      <c r="I40" s="430"/>
      <c r="J40" s="430"/>
      <c r="K40" s="430"/>
      <c r="L40" s="435"/>
      <c r="M40" s="435"/>
    </row>
    <row r="41" spans="1:13" s="238" customFormat="1" x14ac:dyDescent="0.35">
      <c r="A41" s="375"/>
      <c r="B41" s="232" t="str">
        <f>'1 &amp; 3 GST'!B10</f>
        <v>BOC</v>
      </c>
      <c r="C41" s="232" t="str">
        <f>'1 &amp; 3 GST'!C10</f>
        <v>BFCA</v>
      </c>
      <c r="D41" s="232">
        <f>'1 &amp; 3 GST'!D10</f>
        <v>71799300</v>
      </c>
      <c r="E41" s="232" t="str">
        <f>'1 &amp; 3 GST'!E10</f>
        <v>EURO</v>
      </c>
      <c r="F41" s="430"/>
      <c r="G41" s="430"/>
      <c r="H41" s="430"/>
      <c r="I41" s="430"/>
      <c r="J41" s="430"/>
      <c r="K41" s="430"/>
      <c r="L41" s="435"/>
      <c r="M41" s="435"/>
    </row>
    <row r="42" spans="1:13" s="238" customFormat="1" x14ac:dyDescent="0.35">
      <c r="A42" s="375"/>
      <c r="B42" s="232" t="str">
        <f>'1 &amp; 3 GST'!B11</f>
        <v>Peoples</v>
      </c>
      <c r="C42" s="232" t="str">
        <f>'1 &amp; 3 GST'!C11</f>
        <v>C/A</v>
      </c>
      <c r="D42" s="233">
        <f>'1 &amp; 3 GST'!D11</f>
        <v>148100130046167</v>
      </c>
      <c r="E42" s="232" t="str">
        <f>'1 &amp; 3 GST'!E11</f>
        <v>LKR</v>
      </c>
      <c r="F42" s="430"/>
      <c r="G42" s="430"/>
      <c r="H42" s="430"/>
      <c r="I42" s="430"/>
      <c r="J42" s="430"/>
      <c r="K42" s="430"/>
      <c r="L42" s="435"/>
      <c r="M42" s="435"/>
    </row>
    <row r="43" spans="1:13" s="238" customFormat="1" x14ac:dyDescent="0.35">
      <c r="A43" s="375"/>
      <c r="B43" s="232" t="str">
        <f>'1 &amp; 3 GST'!B12</f>
        <v>Peoples</v>
      </c>
      <c r="C43" s="232" t="str">
        <f>'1 &amp; 3 GST'!C12</f>
        <v>BFCA</v>
      </c>
      <c r="D43" s="233">
        <f>'1 &amp; 3 GST'!D12</f>
        <v>148402130046167</v>
      </c>
      <c r="E43" s="232" t="str">
        <f>'1 &amp; 3 GST'!E12</f>
        <v>USD</v>
      </c>
      <c r="F43" s="430"/>
      <c r="G43" s="430"/>
      <c r="H43" s="430"/>
      <c r="I43" s="430"/>
      <c r="J43" s="430"/>
      <c r="K43" s="430"/>
      <c r="L43" s="435"/>
      <c r="M43" s="435"/>
    </row>
    <row r="44" spans="1:13" s="238" customFormat="1" x14ac:dyDescent="0.35">
      <c r="A44" s="375"/>
      <c r="B44" s="232" t="str">
        <f>'1 &amp; 3 GST'!B15</f>
        <v xml:space="preserve">Seylan </v>
      </c>
      <c r="C44" s="232" t="str">
        <f>'1 &amp; 3 GST'!C15</f>
        <v>C/A</v>
      </c>
      <c r="D44" s="233">
        <f>'1 &amp; 3 GST'!D15</f>
        <v>86013585844001</v>
      </c>
      <c r="E44" s="232" t="str">
        <f>'1 &amp; 3 GST'!E15</f>
        <v>LKR</v>
      </c>
      <c r="F44" s="430"/>
      <c r="G44" s="430"/>
      <c r="H44" s="430"/>
      <c r="I44" s="430"/>
      <c r="J44" s="430"/>
      <c r="K44" s="430"/>
      <c r="L44" s="435"/>
      <c r="M44" s="435"/>
    </row>
    <row r="45" spans="1:13" s="238" customFormat="1" x14ac:dyDescent="0.35">
      <c r="A45" s="375"/>
      <c r="B45" s="232" t="str">
        <f>'1 &amp; 3 GST'!B16</f>
        <v xml:space="preserve">Seylan </v>
      </c>
      <c r="C45" s="232" t="str">
        <f>'1 &amp; 3 GST'!C16</f>
        <v>BFCA</v>
      </c>
      <c r="D45" s="233">
        <f>'1 &amp; 3 GST'!D16</f>
        <v>86013585844050</v>
      </c>
      <c r="E45" s="232" t="str">
        <f>'1 &amp; 3 GST'!E16</f>
        <v>USD</v>
      </c>
      <c r="F45" s="430"/>
      <c r="G45" s="430"/>
      <c r="H45" s="430"/>
      <c r="I45" s="430"/>
      <c r="J45" s="430"/>
      <c r="K45" s="430"/>
      <c r="L45" s="435"/>
      <c r="M45" s="435"/>
    </row>
    <row r="46" spans="1:13" s="238" customFormat="1" x14ac:dyDescent="0.35">
      <c r="A46" s="375"/>
      <c r="B46" s="232" t="str">
        <f>'1 &amp; 3 GST'!B17</f>
        <v xml:space="preserve">Seylan </v>
      </c>
      <c r="C46" s="232" t="str">
        <f>'1 &amp; 3 GST'!C17</f>
        <v>BLA</v>
      </c>
      <c r="D46" s="233">
        <f>'1 &amp; 3 GST'!D17</f>
        <v>86013585844001</v>
      </c>
      <c r="E46" s="232" t="str">
        <f>'1 &amp; 3 GST'!E17</f>
        <v>USD</v>
      </c>
      <c r="F46" s="430"/>
      <c r="G46" s="430"/>
      <c r="H46" s="430"/>
      <c r="I46" s="430"/>
      <c r="J46" s="430"/>
      <c r="K46" s="430"/>
      <c r="L46" s="435"/>
      <c r="M46" s="435"/>
    </row>
    <row r="47" spans="1:13" s="238" customFormat="1" x14ac:dyDescent="0.35">
      <c r="A47" s="375"/>
      <c r="B47" s="232" t="str">
        <f>'1 &amp; 3 GST'!B18</f>
        <v>HNB</v>
      </c>
      <c r="C47" s="232" t="str">
        <f>'1 &amp; 3 GST'!C18</f>
        <v>C/A</v>
      </c>
      <c r="D47" s="233">
        <f>'1 &amp; 3 GST'!D18</f>
        <v>2010015083</v>
      </c>
      <c r="E47" s="232" t="str">
        <f>'1 &amp; 3 GST'!E18</f>
        <v>LKR</v>
      </c>
      <c r="F47" s="430"/>
      <c r="G47" s="430"/>
      <c r="H47" s="430"/>
      <c r="I47" s="430"/>
      <c r="J47" s="430"/>
      <c r="K47" s="430"/>
      <c r="L47" s="435"/>
      <c r="M47" s="435"/>
    </row>
    <row r="48" spans="1:13" s="238" customFormat="1" x14ac:dyDescent="0.35">
      <c r="A48" s="375"/>
      <c r="B48" s="232" t="str">
        <f>'1 &amp; 3 GST'!B19</f>
        <v>HNB</v>
      </c>
      <c r="C48" s="232" t="str">
        <f>'1 &amp; 3 GST'!C19</f>
        <v>C/A</v>
      </c>
      <c r="D48" s="233">
        <f>'1 &amp; 3 GST'!D19</f>
        <v>2010016836</v>
      </c>
      <c r="E48" s="232" t="str">
        <f>'1 &amp; 3 GST'!E19</f>
        <v>LKR</v>
      </c>
      <c r="F48" s="430"/>
      <c r="G48" s="430"/>
      <c r="H48" s="430"/>
      <c r="I48" s="430"/>
      <c r="J48" s="430"/>
      <c r="K48" s="430"/>
      <c r="L48" s="435"/>
      <c r="M48" s="435"/>
    </row>
    <row r="49" spans="1:13" s="238" customFormat="1" x14ac:dyDescent="0.35">
      <c r="A49" s="375"/>
      <c r="B49" s="232" t="str">
        <f>'1 &amp; 3 GST'!B20</f>
        <v>HNB</v>
      </c>
      <c r="C49" s="232" t="str">
        <f>'1 &amp; 3 GST'!C20</f>
        <v>BFCA</v>
      </c>
      <c r="D49" s="233">
        <f>'1 &amp; 3 GST'!D20</f>
        <v>2910138541</v>
      </c>
      <c r="E49" s="232" t="str">
        <f>'1 &amp; 3 GST'!E20</f>
        <v>USD</v>
      </c>
      <c r="F49" s="430"/>
      <c r="G49" s="430"/>
      <c r="H49" s="430"/>
      <c r="I49" s="430"/>
      <c r="J49" s="430"/>
      <c r="K49" s="430"/>
      <c r="L49" s="435"/>
      <c r="M49" s="435"/>
    </row>
    <row r="50" spans="1:13" s="238" customFormat="1" x14ac:dyDescent="0.35">
      <c r="A50" s="375"/>
      <c r="B50" s="232" t="str">
        <f>'1 &amp; 3 GST'!B21</f>
        <v>HNB</v>
      </c>
      <c r="C50" s="232" t="str">
        <f>'1 &amp; 3 GST'!C21</f>
        <v>BLA</v>
      </c>
      <c r="D50" s="233">
        <f>'1 &amp; 3 GST'!D21</f>
        <v>2910469986</v>
      </c>
      <c r="E50" s="232" t="str">
        <f>'1 &amp; 3 GST'!E21</f>
        <v>USD</v>
      </c>
      <c r="F50" s="430"/>
      <c r="G50" s="430"/>
      <c r="H50" s="430"/>
      <c r="I50" s="430"/>
      <c r="J50" s="430"/>
      <c r="K50" s="430"/>
      <c r="L50" s="435"/>
      <c r="M50" s="435"/>
    </row>
    <row r="51" spans="1:13" s="238" customFormat="1" x14ac:dyDescent="0.35">
      <c r="A51" s="375"/>
      <c r="B51" s="232" t="str">
        <f>'1 &amp; 3 GST'!B22</f>
        <v>NDB</v>
      </c>
      <c r="C51" s="232" t="str">
        <f>'1 &amp; 3 GST'!C22</f>
        <v>C/A</v>
      </c>
      <c r="D51" s="233">
        <f>'1 &amp; 3 GST'!D22</f>
        <v>101000017672</v>
      </c>
      <c r="E51" s="232" t="str">
        <f>'1 &amp; 3 GST'!E22</f>
        <v>LKR</v>
      </c>
      <c r="F51" s="430"/>
      <c r="G51" s="430"/>
      <c r="H51" s="430"/>
      <c r="I51" s="430"/>
      <c r="J51" s="430"/>
      <c r="K51" s="430"/>
      <c r="L51" s="435"/>
      <c r="M51" s="435"/>
    </row>
    <row r="52" spans="1:13" s="238" customFormat="1" x14ac:dyDescent="0.35">
      <c r="A52" s="375"/>
      <c r="B52" s="232" t="str">
        <f>'1 &amp; 3 GST'!B23</f>
        <v>NDB</v>
      </c>
      <c r="C52" s="232" t="str">
        <f>'1 &amp; 3 GST'!C23</f>
        <v>BFCA</v>
      </c>
      <c r="D52" s="233">
        <f>'1 &amp; 3 GST'!D23</f>
        <v>101570000145</v>
      </c>
      <c r="E52" s="232" t="str">
        <f>'1 &amp; 3 GST'!E23</f>
        <v>USD</v>
      </c>
      <c r="F52" s="430"/>
      <c r="G52" s="430"/>
      <c r="H52" s="430"/>
      <c r="I52" s="430"/>
      <c r="J52" s="430"/>
      <c r="K52" s="430"/>
      <c r="L52" s="435"/>
      <c r="M52" s="435"/>
    </row>
    <row r="53" spans="1:13" s="238" customFormat="1" x14ac:dyDescent="0.35">
      <c r="A53" s="375"/>
      <c r="B53" s="232" t="str">
        <f>'1 &amp; 3 GST'!B24</f>
        <v>NDB</v>
      </c>
      <c r="C53" s="232" t="str">
        <f>'1 &amp; 3 GST'!C24</f>
        <v>BLA</v>
      </c>
      <c r="D53" s="233">
        <f>'1 &amp; 3 GST'!D24</f>
        <v>106840000748</v>
      </c>
      <c r="E53" s="232" t="str">
        <f>'1 &amp; 3 GST'!E24</f>
        <v>USD</v>
      </c>
      <c r="F53" s="430"/>
      <c r="G53" s="430"/>
      <c r="H53" s="430"/>
      <c r="I53" s="430"/>
      <c r="J53" s="430"/>
      <c r="K53" s="430"/>
      <c r="L53" s="435"/>
      <c r="M53" s="435"/>
    </row>
    <row r="54" spans="1:13" s="238" customFormat="1" x14ac:dyDescent="0.35">
      <c r="A54" s="376" t="s">
        <v>286</v>
      </c>
      <c r="B54" s="242" t="str">
        <f>'1 &amp; 3 GS Ticketing'!B5</f>
        <v>BOC</v>
      </c>
      <c r="C54" s="242" t="str">
        <f>'1 &amp; 3 GS Ticketing'!C5</f>
        <v>C/A</v>
      </c>
      <c r="D54" s="242" t="str">
        <f>'1 &amp; 3 GS Ticketing'!D5</f>
        <v>71068290</v>
      </c>
      <c r="E54" s="242" t="str">
        <f>'1 &amp; 3 GS Ticketing'!E5</f>
        <v>LKR</v>
      </c>
      <c r="F54" s="430"/>
      <c r="G54" s="430"/>
      <c r="H54" s="430"/>
      <c r="I54" s="430"/>
      <c r="J54" s="430"/>
      <c r="K54" s="430"/>
      <c r="L54" s="435"/>
      <c r="M54" s="435"/>
    </row>
    <row r="55" spans="1:13" s="238" customFormat="1" x14ac:dyDescent="0.35">
      <c r="A55" s="377"/>
      <c r="B55" s="242" t="str">
        <f>'1 &amp; 3 GS Ticketing'!B6</f>
        <v xml:space="preserve">NDB * </v>
      </c>
      <c r="C55" s="242" t="str">
        <f>'1 &amp; 3 GS Ticketing'!C6</f>
        <v>C/A</v>
      </c>
      <c r="D55" s="242" t="str">
        <f>'1 &amp; 3 GS Ticketing'!D6</f>
        <v>101000234638</v>
      </c>
      <c r="E55" s="242" t="str">
        <f>'1 &amp; 3 GS Ticketing'!E6</f>
        <v>LKR</v>
      </c>
      <c r="F55" s="430"/>
      <c r="G55" s="430"/>
      <c r="H55" s="430"/>
      <c r="I55" s="430"/>
      <c r="J55" s="430"/>
      <c r="K55" s="430"/>
      <c r="L55" s="435"/>
      <c r="M55" s="435"/>
    </row>
    <row r="56" spans="1:13" s="238" customFormat="1" x14ac:dyDescent="0.35">
      <c r="A56" s="377"/>
      <c r="B56" s="242" t="str">
        <f>'1 &amp; 3 GS Ticketing'!B7</f>
        <v>Sampath **</v>
      </c>
      <c r="C56" s="242" t="str">
        <f>'1 &amp; 3 GS Ticketing'!C7</f>
        <v>C/A</v>
      </c>
      <c r="D56" s="242" t="str">
        <f>'1 &amp; 3 GS Ticketing'!D7</f>
        <v>000930000574</v>
      </c>
      <c r="E56" s="242" t="str">
        <f>'1 &amp; 3 GS Ticketing'!E7</f>
        <v>LKR</v>
      </c>
      <c r="F56" s="430"/>
      <c r="G56" s="430"/>
      <c r="H56" s="430"/>
      <c r="I56" s="430"/>
      <c r="J56" s="430"/>
      <c r="K56" s="430"/>
      <c r="L56" s="435"/>
      <c r="M56" s="435"/>
    </row>
    <row r="57" spans="1:13" s="238" customFormat="1" x14ac:dyDescent="0.35">
      <c r="A57" s="377"/>
      <c r="B57" s="242" t="str">
        <f>'1 &amp; 3 GS Ticketing'!B8</f>
        <v>Sampath</v>
      </c>
      <c r="C57" s="242" t="str">
        <f>'1 &amp; 3 GS Ticketing'!C8</f>
        <v>C/A</v>
      </c>
      <c r="D57" s="242" t="str">
        <f>'1 &amp; 3 GS Ticketing'!D8</f>
        <v>000911000523</v>
      </c>
      <c r="E57" s="242" t="str">
        <f>'1 &amp; 3 GS Ticketing'!E8</f>
        <v>LKR</v>
      </c>
      <c r="F57" s="430"/>
      <c r="G57" s="430"/>
      <c r="H57" s="430"/>
      <c r="I57" s="430"/>
      <c r="J57" s="430"/>
      <c r="K57" s="430"/>
      <c r="L57" s="435"/>
      <c r="M57" s="435"/>
    </row>
    <row r="58" spans="1:13" s="238" customFormat="1" x14ac:dyDescent="0.35">
      <c r="A58" s="377"/>
      <c r="B58" s="242" t="str">
        <f>'1 &amp; 3 GS Ticketing'!B9</f>
        <v>Union</v>
      </c>
      <c r="C58" s="242" t="str">
        <f>'1 &amp; 3 GS Ticketing'!C9</f>
        <v>C/A</v>
      </c>
      <c r="D58" s="242" t="str">
        <f>'1 &amp; 3 GS Ticketing'!D9</f>
        <v>9970101000004250</v>
      </c>
      <c r="E58" s="242" t="str">
        <f>'1 &amp; 3 GS Ticketing'!E9</f>
        <v>LKR</v>
      </c>
      <c r="F58" s="430"/>
      <c r="G58" s="430"/>
      <c r="H58" s="430"/>
      <c r="I58" s="430"/>
      <c r="J58" s="430"/>
      <c r="K58" s="430"/>
      <c r="L58" s="435"/>
      <c r="M58" s="435"/>
    </row>
    <row r="59" spans="1:13" s="238" customFormat="1" x14ac:dyDescent="0.35">
      <c r="A59" s="377"/>
      <c r="B59" s="242" t="str">
        <f>'1 &amp; 3 GS Ticketing'!B10</f>
        <v>Peoples</v>
      </c>
      <c r="C59" s="242" t="str">
        <f>'1 &amp; 3 GS Ticketing'!C10</f>
        <v>C/A</v>
      </c>
      <c r="D59" s="242" t="str">
        <f>'1 &amp; 3 GS Ticketing'!D10</f>
        <v>148100110050706</v>
      </c>
      <c r="E59" s="242" t="str">
        <f>'1 &amp; 3 GS Ticketing'!E10</f>
        <v>LKR</v>
      </c>
      <c r="F59" s="430"/>
      <c r="G59" s="430"/>
      <c r="H59" s="430"/>
      <c r="I59" s="430"/>
      <c r="J59" s="430"/>
      <c r="K59" s="430"/>
      <c r="L59" s="435"/>
      <c r="M59" s="435"/>
    </row>
    <row r="60" spans="1:13" s="238" customFormat="1" x14ac:dyDescent="0.35">
      <c r="A60" s="377"/>
      <c r="B60" s="242" t="str">
        <f>'1 &amp; 3 GS Ticketing'!B11</f>
        <v>NTB</v>
      </c>
      <c r="C60" s="242" t="str">
        <f>'1 &amp; 3 GS Ticketing'!C11</f>
        <v>C/A</v>
      </c>
      <c r="D60" s="242" t="str">
        <f>'1 &amp; 3 GS Ticketing'!D11</f>
        <v>100020013810</v>
      </c>
      <c r="E60" s="242" t="str">
        <f>'1 &amp; 3 GS Ticketing'!E11</f>
        <v>LKR</v>
      </c>
      <c r="F60" s="430"/>
      <c r="G60" s="430"/>
      <c r="H60" s="430"/>
      <c r="I60" s="430"/>
      <c r="J60" s="430"/>
      <c r="K60" s="430"/>
      <c r="L60" s="435"/>
      <c r="M60" s="435"/>
    </row>
    <row r="61" spans="1:13" s="238" customFormat="1" x14ac:dyDescent="0.35">
      <c r="A61" s="377"/>
      <c r="B61" s="242" t="str">
        <f>'1 &amp; 3 GS Ticketing'!B12</f>
        <v>Comm Bank</v>
      </c>
      <c r="C61" s="242" t="str">
        <f>'1 &amp; 3 GS Ticketing'!C12</f>
        <v>C/A</v>
      </c>
      <c r="D61" s="242" t="str">
        <f>'1 &amp; 3 GS Ticketing'!D12</f>
        <v>1020012896</v>
      </c>
      <c r="E61" s="242" t="str">
        <f>'1 &amp; 3 GS Ticketing'!E12</f>
        <v>LKR</v>
      </c>
      <c r="F61" s="430"/>
      <c r="G61" s="430"/>
      <c r="H61" s="430"/>
      <c r="I61" s="430"/>
      <c r="J61" s="430"/>
      <c r="K61" s="430"/>
      <c r="L61" s="435"/>
      <c r="M61" s="435"/>
    </row>
    <row r="62" spans="1:13" s="238" customFormat="1" x14ac:dyDescent="0.35">
      <c r="A62" s="377"/>
      <c r="B62" s="242" t="str">
        <f>'1 &amp; 3 GS Ticketing'!B13</f>
        <v>NDB</v>
      </c>
      <c r="C62" s="242" t="str">
        <f>'1 &amp; 3 GS Ticketing'!C13</f>
        <v>S/A</v>
      </c>
      <c r="D62" s="242" t="str">
        <f>'1 &amp; 3 GS Ticketing'!D13</f>
        <v>106630000249</v>
      </c>
      <c r="E62" s="242" t="str">
        <f>'1 &amp; 3 GS Ticketing'!E13</f>
        <v>USD</v>
      </c>
      <c r="F62" s="430"/>
      <c r="G62" s="430"/>
      <c r="H62" s="430"/>
      <c r="I62" s="430"/>
      <c r="J62" s="430"/>
      <c r="K62" s="430"/>
      <c r="L62" s="435"/>
      <c r="M62" s="435"/>
    </row>
    <row r="63" spans="1:13" s="238" customFormat="1" x14ac:dyDescent="0.35">
      <c r="A63" s="378"/>
      <c r="B63" s="242" t="str">
        <f>'1 &amp; 3 GS Ticketing'!B14</f>
        <v>Sampath</v>
      </c>
      <c r="C63" s="242" t="str">
        <f>'1 &amp; 3 GS Ticketing'!C14</f>
        <v>S/A</v>
      </c>
      <c r="D63" s="242" t="str">
        <f>'1 &amp; 3 GS Ticketing'!D14</f>
        <v>500930004122</v>
      </c>
      <c r="E63" s="242" t="str">
        <f>'1 &amp; 3 GS Ticketing'!E14</f>
        <v>USD</v>
      </c>
      <c r="F63" s="430"/>
      <c r="G63" s="430"/>
      <c r="H63" s="430"/>
      <c r="I63" s="430"/>
      <c r="J63" s="430"/>
      <c r="K63" s="430"/>
      <c r="L63" s="435"/>
      <c r="M63" s="435"/>
    </row>
    <row r="64" spans="1:13" s="238" customFormat="1" x14ac:dyDescent="0.35">
      <c r="A64" s="383" t="s">
        <v>401</v>
      </c>
      <c r="B64" s="332" t="str">
        <f>'1. GSS'!B6</f>
        <v>Commercial Bank</v>
      </c>
      <c r="C64" s="332" t="str">
        <f>'1. GSS'!C6</f>
        <v>Current</v>
      </c>
      <c r="D64" s="332" t="str">
        <f>'1. GSS'!D6</f>
        <v>1020023631</v>
      </c>
      <c r="E64" s="332" t="str">
        <f>'1. GSS'!E6</f>
        <v>LKR</v>
      </c>
      <c r="F64" s="429"/>
      <c r="G64" s="429"/>
      <c r="H64" s="429"/>
      <c r="I64" s="429"/>
      <c r="J64" s="429"/>
      <c r="K64" s="429"/>
      <c r="L64" s="435"/>
      <c r="M64" s="435"/>
    </row>
    <row r="65" spans="1:13" s="238" customFormat="1" x14ac:dyDescent="0.35">
      <c r="A65" s="384"/>
      <c r="B65" s="332" t="str">
        <f>'1. GSS'!B7</f>
        <v>Commercial Bank</v>
      </c>
      <c r="C65" s="332" t="str">
        <f>'1. GSS'!C7</f>
        <v>Current</v>
      </c>
      <c r="D65" s="332" t="str">
        <f>'1. GSS'!D7</f>
        <v>1000161074</v>
      </c>
      <c r="E65" s="332" t="str">
        <f>'1. GSS'!E7</f>
        <v>LKR</v>
      </c>
      <c r="F65" s="429"/>
      <c r="G65" s="429"/>
      <c r="H65" s="429"/>
      <c r="I65" s="429"/>
      <c r="J65" s="429"/>
      <c r="K65" s="429"/>
      <c r="L65" s="435"/>
      <c r="M65" s="435"/>
    </row>
    <row r="66" spans="1:13" s="238" customFormat="1" x14ac:dyDescent="0.35">
      <c r="A66" s="384"/>
      <c r="B66" s="332" t="str">
        <f>'1. GSS'!B8</f>
        <v>Commercial Bank</v>
      </c>
      <c r="C66" s="332" t="str">
        <f>'1. GSS'!C8</f>
        <v>Current</v>
      </c>
      <c r="D66" s="332" t="str">
        <f>'1. GSS'!D8</f>
        <v>1000961599</v>
      </c>
      <c r="E66" s="332" t="str">
        <f>'1. GSS'!E8</f>
        <v>LKR</v>
      </c>
      <c r="F66" s="429"/>
      <c r="G66" s="429"/>
      <c r="H66" s="429"/>
      <c r="I66" s="429"/>
      <c r="J66" s="429"/>
      <c r="K66" s="429"/>
      <c r="L66" s="435"/>
      <c r="M66" s="435"/>
    </row>
    <row r="67" spans="1:13" s="238" customFormat="1" x14ac:dyDescent="0.35">
      <c r="A67" s="384"/>
      <c r="B67" s="332" t="str">
        <f>'1. GSS'!B9</f>
        <v>NDB</v>
      </c>
      <c r="C67" s="332" t="str">
        <f>'1. GSS'!C9</f>
        <v>Current</v>
      </c>
      <c r="D67" s="332" t="str">
        <f>'1. GSS'!D9</f>
        <v>101001033396</v>
      </c>
      <c r="E67" s="332" t="str">
        <f>'1. GSS'!E9</f>
        <v>LKR</v>
      </c>
      <c r="F67" s="429"/>
      <c r="G67" s="429"/>
      <c r="H67" s="429"/>
      <c r="I67" s="429"/>
      <c r="J67" s="429"/>
      <c r="K67" s="429"/>
      <c r="L67" s="435"/>
      <c r="M67" s="435"/>
    </row>
    <row r="68" spans="1:13" s="238" customFormat="1" x14ac:dyDescent="0.35">
      <c r="A68" s="384"/>
      <c r="B68" s="332" t="str">
        <f>'1. GSS'!B10</f>
        <v>NDB</v>
      </c>
      <c r="C68" s="332" t="str">
        <f>'1. GSS'!C10</f>
        <v>Saving</v>
      </c>
      <c r="D68" s="332" t="str">
        <f>'1. GSS'!D10</f>
        <v>115510157755</v>
      </c>
      <c r="E68" s="332" t="str">
        <f>'1. GSS'!E10</f>
        <v>LKR</v>
      </c>
      <c r="F68" s="429"/>
      <c r="G68" s="429"/>
      <c r="H68" s="429"/>
      <c r="I68" s="429"/>
      <c r="J68" s="429"/>
      <c r="K68" s="429"/>
      <c r="L68" s="435"/>
      <c r="M68" s="435"/>
    </row>
    <row r="69" spans="1:13" s="238" customFormat="1" x14ac:dyDescent="0.35">
      <c r="A69" s="384"/>
      <c r="B69" s="332" t="str">
        <f>'1. GSS'!B11</f>
        <v>NDB</v>
      </c>
      <c r="C69" s="332" t="str">
        <f>'1. GSS'!C11</f>
        <v>Saving</v>
      </c>
      <c r="D69" s="332" t="str">
        <f>'1. GSS'!D11</f>
        <v>106590006311</v>
      </c>
      <c r="E69" s="332" t="str">
        <f>'1. GSS'!E11</f>
        <v>USD</v>
      </c>
      <c r="F69" s="429"/>
      <c r="G69" s="429"/>
      <c r="H69" s="429"/>
      <c r="I69" s="429"/>
      <c r="J69" s="429"/>
      <c r="K69" s="429"/>
      <c r="L69" s="435"/>
      <c r="M69" s="435"/>
    </row>
    <row r="70" spans="1:13" s="238" customFormat="1" x14ac:dyDescent="0.35">
      <c r="A70" s="384"/>
      <c r="B70" s="332" t="str">
        <f>'1. GSS'!B12</f>
        <v>NTB</v>
      </c>
      <c r="C70" s="332" t="str">
        <f>'1. GSS'!C12</f>
        <v>Current</v>
      </c>
      <c r="D70" s="332" t="str">
        <f>'1. GSS'!D12</f>
        <v>100020003275</v>
      </c>
      <c r="E70" s="332" t="str">
        <f>'1. GSS'!E12</f>
        <v>LKR</v>
      </c>
      <c r="F70" s="429"/>
      <c r="G70" s="429"/>
      <c r="H70" s="429"/>
      <c r="I70" s="429"/>
      <c r="J70" s="429"/>
      <c r="K70" s="429"/>
      <c r="L70" s="435"/>
      <c r="M70" s="435"/>
    </row>
    <row r="71" spans="1:13" s="238" customFormat="1" x14ac:dyDescent="0.35">
      <c r="A71" s="384"/>
      <c r="B71" s="332" t="str">
        <f>'1. GSS'!B13</f>
        <v>NTB</v>
      </c>
      <c r="C71" s="332" t="str">
        <f>'1. GSS'!C13</f>
        <v>Saving</v>
      </c>
      <c r="D71" s="332" t="str">
        <f>'1. GSS'!D13</f>
        <v>200020042138</v>
      </c>
      <c r="E71" s="332" t="str">
        <f>'1. GSS'!E13</f>
        <v>LKR</v>
      </c>
      <c r="F71" s="429"/>
      <c r="G71" s="429"/>
      <c r="H71" s="429"/>
      <c r="I71" s="429"/>
      <c r="J71" s="429"/>
      <c r="K71" s="429"/>
      <c r="L71" s="435"/>
      <c r="M71" s="435"/>
    </row>
    <row r="72" spans="1:13" s="238" customFormat="1" x14ac:dyDescent="0.35">
      <c r="A72" s="384"/>
      <c r="B72" s="332" t="str">
        <f>'1. GSS'!B14</f>
        <v>NTB</v>
      </c>
      <c r="C72" s="332" t="str">
        <f>'1. GSS'!C14</f>
        <v>Saving</v>
      </c>
      <c r="D72" s="332" t="str">
        <f>'1. GSS'!D14</f>
        <v>200020036250</v>
      </c>
      <c r="E72" s="332" t="str">
        <f>'1. GSS'!E14</f>
        <v>LKR</v>
      </c>
      <c r="F72" s="429"/>
      <c r="G72" s="429"/>
      <c r="H72" s="429"/>
      <c r="I72" s="429"/>
      <c r="J72" s="429"/>
      <c r="K72" s="429"/>
      <c r="L72" s="435"/>
      <c r="M72" s="435"/>
    </row>
    <row r="73" spans="1:13" s="238" customFormat="1" x14ac:dyDescent="0.35">
      <c r="A73" s="384"/>
      <c r="B73" s="332" t="str">
        <f>'1. GSS'!B15</f>
        <v>BOC</v>
      </c>
      <c r="C73" s="332" t="str">
        <f>'1. GSS'!C15</f>
        <v>Current</v>
      </c>
      <c r="D73" s="332" t="str">
        <f>'1. GSS'!D15</f>
        <v>88234820</v>
      </c>
      <c r="E73" s="332" t="str">
        <f>'1. GSS'!E15</f>
        <v>LKR</v>
      </c>
      <c r="F73" s="429"/>
      <c r="G73" s="429"/>
      <c r="H73" s="429"/>
      <c r="I73" s="429"/>
      <c r="J73" s="429"/>
      <c r="K73" s="429"/>
      <c r="L73" s="435"/>
      <c r="M73" s="435"/>
    </row>
    <row r="74" spans="1:13" s="238" customFormat="1" x14ac:dyDescent="0.35">
      <c r="A74" s="384"/>
      <c r="B74" s="332" t="str">
        <f>'1. GSS'!B16</f>
        <v>BOC</v>
      </c>
      <c r="C74" s="332" t="str">
        <f>'1. GSS'!C16</f>
        <v>Current</v>
      </c>
      <c r="D74" s="332" t="str">
        <f>'1. GSS'!D16</f>
        <v>88234806</v>
      </c>
      <c r="E74" s="332" t="str">
        <f>'1. GSS'!E16</f>
        <v>LKR</v>
      </c>
      <c r="F74" s="429"/>
      <c r="G74" s="429"/>
      <c r="H74" s="429"/>
      <c r="I74" s="429"/>
      <c r="J74" s="429"/>
      <c r="K74" s="429"/>
      <c r="L74" s="435"/>
      <c r="M74" s="435"/>
    </row>
    <row r="75" spans="1:13" s="238" customFormat="1" x14ac:dyDescent="0.35">
      <c r="A75" s="384"/>
      <c r="B75" s="332" t="str">
        <f>'1. GSS'!B17</f>
        <v>Union Bank</v>
      </c>
      <c r="C75" s="332" t="str">
        <f>'1. GSS'!C17</f>
        <v>Current</v>
      </c>
      <c r="D75" s="332" t="str">
        <f>'1. GSS'!D17</f>
        <v>120101000003065</v>
      </c>
      <c r="E75" s="332" t="str">
        <f>'1. GSS'!E17</f>
        <v>LKR</v>
      </c>
      <c r="F75" s="429"/>
      <c r="G75" s="429"/>
      <c r="H75" s="429"/>
      <c r="I75" s="429"/>
      <c r="J75" s="429"/>
      <c r="K75" s="429"/>
      <c r="L75" s="435"/>
      <c r="M75" s="435"/>
    </row>
    <row r="76" spans="1:13" s="238" customFormat="1" x14ac:dyDescent="0.35">
      <c r="A76" s="384"/>
      <c r="B76" s="332" t="str">
        <f>'1. GSS'!B18</f>
        <v>Seylan</v>
      </c>
      <c r="C76" s="332" t="str">
        <f>'1. GSS'!C18</f>
        <v>Current</v>
      </c>
      <c r="D76" s="332" t="str">
        <f>'1. GSS'!D18</f>
        <v>0860-13457848-001</v>
      </c>
      <c r="E76" s="332" t="str">
        <f>'1. GSS'!E18</f>
        <v>LKR</v>
      </c>
      <c r="F76" s="429"/>
      <c r="G76" s="429"/>
      <c r="H76" s="429"/>
      <c r="I76" s="429"/>
      <c r="J76" s="429"/>
      <c r="K76" s="429"/>
      <c r="L76" s="435"/>
      <c r="M76" s="435"/>
    </row>
    <row r="77" spans="1:13" s="238" customFormat="1" x14ac:dyDescent="0.35">
      <c r="A77" s="385"/>
      <c r="B77" s="332" t="str">
        <f>'1. GSS'!B19</f>
        <v>Pan Asia</v>
      </c>
      <c r="C77" s="332" t="str">
        <f>'1. GSS'!C19</f>
        <v>Current</v>
      </c>
      <c r="D77" s="332" t="str">
        <f>'1. GSS'!D19</f>
        <v>100111000525</v>
      </c>
      <c r="E77" s="332" t="str">
        <f>'1. GSS'!E19</f>
        <v>LKR</v>
      </c>
      <c r="F77" s="429"/>
      <c r="G77" s="429"/>
      <c r="H77" s="429"/>
      <c r="I77" s="429"/>
      <c r="J77" s="429"/>
      <c r="K77" s="429"/>
      <c r="L77" s="435"/>
      <c r="M77" s="435"/>
    </row>
    <row r="78" spans="1:13" s="74" customFormat="1" x14ac:dyDescent="0.35">
      <c r="A78" s="379" t="s">
        <v>57</v>
      </c>
      <c r="B78" s="264" t="str">
        <f>'1. Citrus Group'!B14</f>
        <v>Sampath</v>
      </c>
      <c r="C78" s="264" t="str">
        <f>'1. Citrus Group'!C14</f>
        <v>Current</v>
      </c>
      <c r="D78" s="270" t="str">
        <f>'1. Citrus Group'!D14</f>
        <v>002930022406</v>
      </c>
      <c r="E78" s="264" t="str">
        <f>'1. Citrus Group'!E14</f>
        <v>LKR</v>
      </c>
      <c r="F78" s="430"/>
      <c r="G78" s="430"/>
      <c r="H78" s="430"/>
      <c r="I78" s="430"/>
      <c r="J78" s="430"/>
      <c r="K78" s="430"/>
      <c r="L78" s="436"/>
      <c r="M78" s="436"/>
    </row>
    <row r="79" spans="1:13" s="74" customFormat="1" x14ac:dyDescent="0.35">
      <c r="A79" s="379"/>
      <c r="B79" s="264" t="str">
        <f>'1. Citrus Group'!B15</f>
        <v>Sampath</v>
      </c>
      <c r="C79" s="264" t="str">
        <f>'1. Citrus Group'!C15</f>
        <v>Current</v>
      </c>
      <c r="D79" s="270" t="str">
        <f>'1. Citrus Group'!D15</f>
        <v>002930025324</v>
      </c>
      <c r="E79" s="264" t="str">
        <f>'1. Citrus Group'!E15</f>
        <v>LKR</v>
      </c>
      <c r="F79" s="430"/>
      <c r="G79" s="430"/>
      <c r="H79" s="430"/>
      <c r="I79" s="430"/>
      <c r="J79" s="430"/>
      <c r="K79" s="430"/>
      <c r="L79" s="436"/>
      <c r="M79" s="436"/>
    </row>
    <row r="80" spans="1:13" s="74" customFormat="1" x14ac:dyDescent="0.35">
      <c r="A80" s="379"/>
      <c r="B80" s="264" t="str">
        <f>'1. Citrus Group'!B16</f>
        <v>Sampath</v>
      </c>
      <c r="C80" s="264" t="str">
        <f>'1. Citrus Group'!C16</f>
        <v>Current</v>
      </c>
      <c r="D80" s="270" t="str">
        <f>'1. Citrus Group'!D16</f>
        <v>502909000268</v>
      </c>
      <c r="E80" s="264" t="str">
        <f>'1. Citrus Group'!E16</f>
        <v>USD</v>
      </c>
      <c r="F80" s="430"/>
      <c r="G80" s="430"/>
      <c r="H80" s="430"/>
      <c r="I80" s="430"/>
      <c r="J80" s="430"/>
      <c r="K80" s="430"/>
      <c r="L80" s="436"/>
      <c r="M80" s="436"/>
    </row>
    <row r="81" spans="1:13" x14ac:dyDescent="0.35">
      <c r="A81" s="379"/>
      <c r="B81" s="264" t="str">
        <f>'1. Citrus Group'!B17</f>
        <v>Commercial</v>
      </c>
      <c r="C81" s="264" t="str">
        <f>'1. Citrus Group'!C17</f>
        <v>Current</v>
      </c>
      <c r="D81" s="270">
        <f>'1. Citrus Group'!D17</f>
        <v>1030018169</v>
      </c>
      <c r="E81" s="264" t="str">
        <f>'1. Citrus Group'!E17</f>
        <v>LKR</v>
      </c>
      <c r="F81" s="430"/>
      <c r="G81" s="430"/>
      <c r="H81" s="430"/>
      <c r="I81" s="430"/>
      <c r="J81" s="430"/>
      <c r="K81" s="430"/>
      <c r="L81" s="417"/>
      <c r="M81" s="417"/>
    </row>
    <row r="82" spans="1:13" x14ac:dyDescent="0.35">
      <c r="A82" s="379"/>
      <c r="B82" s="264" t="str">
        <f>'1. Citrus Group'!B18</f>
        <v>Commercial</v>
      </c>
      <c r="C82" s="264" t="str">
        <f>'1. Citrus Group'!C18</f>
        <v>Current</v>
      </c>
      <c r="D82" s="270">
        <f>'1. Citrus Group'!D18</f>
        <v>1000911976</v>
      </c>
      <c r="E82" s="264" t="str">
        <f>'1. Citrus Group'!E18</f>
        <v>LKR</v>
      </c>
      <c r="F82" s="430"/>
      <c r="G82" s="430"/>
      <c r="H82" s="430"/>
      <c r="I82" s="430"/>
      <c r="J82" s="430"/>
      <c r="K82" s="430"/>
      <c r="L82" s="417"/>
      <c r="M82" s="417"/>
    </row>
    <row r="83" spans="1:13" x14ac:dyDescent="0.35">
      <c r="A83" s="379"/>
      <c r="B83" s="264" t="str">
        <f>'1. Citrus Group'!B19</f>
        <v>PABC</v>
      </c>
      <c r="C83" s="264" t="str">
        <f>'1. Citrus Group'!C19</f>
        <v>Current</v>
      </c>
      <c r="D83" s="270" t="str">
        <f>'1. Citrus Group'!D19</f>
        <v>100111001078</v>
      </c>
      <c r="E83" s="264" t="str">
        <f>'1. Citrus Group'!E19</f>
        <v>LKR</v>
      </c>
      <c r="F83" s="430"/>
      <c r="G83" s="430"/>
      <c r="H83" s="430"/>
      <c r="I83" s="430"/>
      <c r="J83" s="430"/>
      <c r="K83" s="430"/>
      <c r="L83" s="417"/>
      <c r="M83" s="417"/>
    </row>
    <row r="84" spans="1:13" x14ac:dyDescent="0.35">
      <c r="A84" s="379"/>
      <c r="B84" s="264" t="str">
        <f>'1. Citrus Group'!B20</f>
        <v>Peoples</v>
      </c>
      <c r="C84" s="264" t="str">
        <f>'1. Citrus Group'!C20</f>
        <v>Current</v>
      </c>
      <c r="D84" s="270" t="str">
        <f>'1. Citrus Group'!D20</f>
        <v>309100180008189</v>
      </c>
      <c r="E84" s="264" t="str">
        <f>'1. Citrus Group'!E20</f>
        <v>LKR</v>
      </c>
      <c r="F84" s="430"/>
      <c r="G84" s="430"/>
      <c r="H84" s="430"/>
      <c r="I84" s="430"/>
      <c r="J84" s="430"/>
      <c r="K84" s="430"/>
      <c r="L84" s="417"/>
      <c r="M84" s="417"/>
    </row>
    <row r="85" spans="1:13" x14ac:dyDescent="0.35">
      <c r="A85" s="379"/>
      <c r="B85" s="264" t="str">
        <f>'1. Citrus Group'!B21</f>
        <v>Seylan</v>
      </c>
      <c r="C85" s="264" t="str">
        <f>'1. Citrus Group'!C21</f>
        <v>Current</v>
      </c>
      <c r="D85" s="270" t="str">
        <f>'1. Citrus Group'!D21</f>
        <v>086013589957001</v>
      </c>
      <c r="E85" s="264" t="str">
        <f>'1. Citrus Group'!E21</f>
        <v>LKR</v>
      </c>
      <c r="F85" s="430"/>
      <c r="G85" s="430"/>
      <c r="H85" s="430"/>
      <c r="I85" s="430"/>
      <c r="J85" s="430"/>
      <c r="K85" s="430"/>
      <c r="L85" s="417"/>
      <c r="M85" s="417"/>
    </row>
    <row r="86" spans="1:13" x14ac:dyDescent="0.35">
      <c r="A86" s="380" t="s">
        <v>67</v>
      </c>
      <c r="B86" s="265" t="str">
        <f>'1. Citrus Group'!B23</f>
        <v>Sampath</v>
      </c>
      <c r="C86" s="224" t="str">
        <f>'1. Citrus Group'!C23</f>
        <v>Current</v>
      </c>
      <c r="D86" s="271">
        <f>'1. Citrus Group'!D23</f>
        <v>2930021019</v>
      </c>
      <c r="E86" s="265" t="str">
        <f>'1. Citrus Group'!E23</f>
        <v>LKR</v>
      </c>
      <c r="F86" s="430"/>
      <c r="G86" s="430"/>
      <c r="H86" s="430"/>
      <c r="I86" s="430"/>
      <c r="J86" s="430"/>
      <c r="K86" s="430"/>
      <c r="L86" s="417"/>
      <c r="M86" s="417"/>
    </row>
    <row r="87" spans="1:13" x14ac:dyDescent="0.35">
      <c r="A87" s="381"/>
      <c r="B87" s="265" t="str">
        <f>'1. Citrus Group'!B24</f>
        <v>Sampath</v>
      </c>
      <c r="C87" s="224" t="str">
        <f>'1. Citrus Group'!C24</f>
        <v>Current</v>
      </c>
      <c r="D87" s="271">
        <f>'1. Citrus Group'!D24</f>
        <v>2930021205</v>
      </c>
      <c r="E87" s="265" t="str">
        <f>'1. Citrus Group'!E24</f>
        <v>LKR</v>
      </c>
      <c r="F87" s="430"/>
      <c r="G87" s="430"/>
      <c r="H87" s="430"/>
      <c r="I87" s="430"/>
      <c r="J87" s="430"/>
      <c r="K87" s="430"/>
      <c r="L87" s="417"/>
      <c r="M87" s="417"/>
    </row>
    <row r="88" spans="1:13" x14ac:dyDescent="0.35">
      <c r="A88" s="381"/>
      <c r="B88" s="265" t="str">
        <f>'1. Citrus Group'!B25</f>
        <v>Sampath</v>
      </c>
      <c r="C88" s="224" t="str">
        <f>'1. Citrus Group'!C25</f>
        <v>Current</v>
      </c>
      <c r="D88" s="271">
        <f>'1. Citrus Group'!D25</f>
        <v>11810000270</v>
      </c>
      <c r="E88" s="265" t="str">
        <f>'1. Citrus Group'!E25</f>
        <v>LKR</v>
      </c>
      <c r="F88" s="430"/>
      <c r="G88" s="430"/>
      <c r="H88" s="430"/>
      <c r="I88" s="430"/>
      <c r="J88" s="430"/>
      <c r="K88" s="430"/>
      <c r="L88" s="417"/>
      <c r="M88" s="417"/>
    </row>
    <row r="89" spans="1:13" x14ac:dyDescent="0.35">
      <c r="A89" s="381"/>
      <c r="B89" s="265" t="str">
        <f>'1. Citrus Group'!B26</f>
        <v>Sampath</v>
      </c>
      <c r="C89" s="224" t="str">
        <f>'1. Citrus Group'!C26</f>
        <v>Current</v>
      </c>
      <c r="D89" s="271" t="str">
        <f>'1. Citrus Group'!D26</f>
        <v>502909000241</v>
      </c>
      <c r="E89" s="265" t="str">
        <f>'1. Citrus Group'!E26</f>
        <v>GBP</v>
      </c>
      <c r="F89" s="430"/>
      <c r="G89" s="430"/>
      <c r="H89" s="430"/>
      <c r="I89" s="430"/>
      <c r="J89" s="430"/>
      <c r="K89" s="430"/>
      <c r="L89" s="417"/>
      <c r="M89" s="417"/>
    </row>
    <row r="90" spans="1:13" x14ac:dyDescent="0.35">
      <c r="A90" s="381"/>
      <c r="B90" s="265" t="str">
        <f>'1. Citrus Group'!B27</f>
        <v>Sampath</v>
      </c>
      <c r="C90" s="224" t="str">
        <f>'1. Citrus Group'!C27</f>
        <v>Current</v>
      </c>
      <c r="D90" s="271" t="str">
        <f>'1. Citrus Group'!D27</f>
        <v>502930001451</v>
      </c>
      <c r="E90" s="265" t="str">
        <f>'1. Citrus Group'!E27</f>
        <v>USD</v>
      </c>
      <c r="F90" s="430"/>
      <c r="G90" s="430"/>
      <c r="H90" s="430"/>
      <c r="I90" s="430"/>
      <c r="J90" s="430"/>
      <c r="K90" s="430"/>
      <c r="L90" s="417"/>
      <c r="M90" s="417"/>
    </row>
    <row r="91" spans="1:13" x14ac:dyDescent="0.35">
      <c r="A91" s="381"/>
      <c r="B91" s="265" t="str">
        <f>'1. Citrus Group'!B28</f>
        <v>Sampath</v>
      </c>
      <c r="C91" s="224" t="str">
        <f>'1. Citrus Group'!C28</f>
        <v>Current</v>
      </c>
      <c r="D91" s="271" t="str">
        <f>'1. Citrus Group'!D28</f>
        <v>502930097884</v>
      </c>
      <c r="E91" s="265" t="str">
        <f>'1. Citrus Group'!E28</f>
        <v>EUR</v>
      </c>
      <c r="F91" s="430"/>
      <c r="G91" s="430"/>
      <c r="H91" s="430"/>
      <c r="I91" s="430"/>
      <c r="J91" s="430"/>
      <c r="K91" s="430"/>
      <c r="L91" s="417"/>
      <c r="M91" s="417"/>
    </row>
    <row r="92" spans="1:13" x14ac:dyDescent="0.35">
      <c r="A92" s="381"/>
      <c r="B92" s="265" t="str">
        <f>'1. Citrus Group'!B29</f>
        <v>Commercial</v>
      </c>
      <c r="C92" s="224" t="str">
        <f>'1. Citrus Group'!C29</f>
        <v>Current</v>
      </c>
      <c r="D92" s="271">
        <f>'1. Citrus Group'!D29</f>
        <v>1140033233</v>
      </c>
      <c r="E92" s="265" t="str">
        <f>'1. Citrus Group'!E29</f>
        <v>LKR</v>
      </c>
      <c r="F92" s="430"/>
      <c r="G92" s="430"/>
      <c r="H92" s="430"/>
      <c r="I92" s="430"/>
      <c r="J92" s="430"/>
      <c r="K92" s="430"/>
      <c r="L92" s="417"/>
      <c r="M92" s="417"/>
    </row>
    <row r="93" spans="1:13" x14ac:dyDescent="0.35">
      <c r="A93" s="381"/>
      <c r="B93" s="265" t="str">
        <f>'1. Citrus Group'!B30</f>
        <v>Commercial</v>
      </c>
      <c r="C93" s="224" t="str">
        <f>'1. Citrus Group'!C30</f>
        <v>Current</v>
      </c>
      <c r="D93" s="271">
        <f>'1. Citrus Group'!D30</f>
        <v>1000914779</v>
      </c>
      <c r="E93" s="265" t="str">
        <f>'1. Citrus Group'!E30</f>
        <v>LKR</v>
      </c>
      <c r="F93" s="430"/>
      <c r="G93" s="430"/>
      <c r="H93" s="430"/>
      <c r="I93" s="430"/>
      <c r="J93" s="430"/>
      <c r="K93" s="430"/>
      <c r="L93" s="417"/>
      <c r="M93" s="417"/>
    </row>
    <row r="94" spans="1:13" x14ac:dyDescent="0.35">
      <c r="A94" s="381"/>
      <c r="B94" s="265" t="str">
        <f>'1. Citrus Group'!B31</f>
        <v>Peoples</v>
      </c>
      <c r="C94" s="224" t="str">
        <f>'1. Citrus Group'!C31</f>
        <v>Current</v>
      </c>
      <c r="D94" s="271" t="str">
        <f>'1. Citrus Group'!D31</f>
        <v>136100140032845</v>
      </c>
      <c r="E94" s="265" t="str">
        <f>'1. Citrus Group'!E31</f>
        <v>LKR</v>
      </c>
      <c r="F94" s="430"/>
      <c r="G94" s="430"/>
      <c r="H94" s="430"/>
      <c r="I94" s="430"/>
      <c r="J94" s="430"/>
      <c r="K94" s="430"/>
      <c r="L94" s="417"/>
      <c r="M94" s="417"/>
    </row>
    <row r="95" spans="1:13" x14ac:dyDescent="0.35">
      <c r="A95" s="381"/>
      <c r="B95" s="265" t="str">
        <f>'1. Citrus Group'!B32</f>
        <v xml:space="preserve">NDB Wealth </v>
      </c>
      <c r="C95" s="224" t="str">
        <f>'1. Citrus Group'!C32</f>
        <v>Money Market A/C</v>
      </c>
      <c r="D95" s="271" t="str">
        <f>'1. Citrus Group'!D32</f>
        <v>1023274-01</v>
      </c>
      <c r="E95" s="265" t="str">
        <f>'1. Citrus Group'!E32</f>
        <v>LKR</v>
      </c>
      <c r="F95" s="430"/>
      <c r="G95" s="430"/>
      <c r="H95" s="430"/>
      <c r="I95" s="430"/>
      <c r="J95" s="430"/>
      <c r="K95" s="430"/>
      <c r="L95" s="417"/>
      <c r="M95" s="417"/>
    </row>
    <row r="96" spans="1:13" x14ac:dyDescent="0.35">
      <c r="A96" s="381"/>
      <c r="B96" s="265" t="str">
        <f>'1. Citrus Group'!B33</f>
        <v>PABC</v>
      </c>
      <c r="C96" s="224" t="str">
        <f>'1. Citrus Group'!C33</f>
        <v>Current</v>
      </c>
      <c r="D96" s="271" t="str">
        <f>'1. Citrus Group'!D33</f>
        <v>100166000978</v>
      </c>
      <c r="E96" s="265" t="str">
        <f>'1. Citrus Group'!E33</f>
        <v>LKR</v>
      </c>
      <c r="F96" s="430"/>
      <c r="G96" s="430"/>
      <c r="H96" s="430"/>
      <c r="I96" s="430"/>
      <c r="J96" s="430"/>
      <c r="K96" s="430"/>
      <c r="L96" s="417"/>
      <c r="M96" s="417"/>
    </row>
    <row r="97" spans="1:13" x14ac:dyDescent="0.35">
      <c r="A97" s="381"/>
      <c r="B97" s="265" t="str">
        <f>'1. Citrus Group'!B34</f>
        <v>PABC</v>
      </c>
      <c r="C97" s="224" t="str">
        <f>'1. Citrus Group'!C34</f>
        <v>Current</v>
      </c>
      <c r="D97" s="271" t="str">
        <f>'1. Citrus Group'!D34</f>
        <v>100111000880</v>
      </c>
      <c r="E97" s="265" t="str">
        <f>'1. Citrus Group'!E34</f>
        <v>LKR</v>
      </c>
      <c r="F97" s="430"/>
      <c r="G97" s="430"/>
      <c r="H97" s="430"/>
      <c r="I97" s="430"/>
      <c r="J97" s="430"/>
      <c r="K97" s="430"/>
      <c r="L97" s="417"/>
      <c r="M97" s="417"/>
    </row>
    <row r="98" spans="1:13" x14ac:dyDescent="0.35">
      <c r="A98" s="381"/>
      <c r="B98" s="265" t="str">
        <f>'1. Citrus Group'!B35</f>
        <v>NTB</v>
      </c>
      <c r="C98" s="224" t="str">
        <f>'1. Citrus Group'!C35</f>
        <v>Current</v>
      </c>
      <c r="D98" s="271" t="str">
        <f>'1. Citrus Group'!D35</f>
        <v>100870009540</v>
      </c>
      <c r="E98" s="265" t="str">
        <f>'1. Citrus Group'!E35</f>
        <v>LKR</v>
      </c>
      <c r="F98" s="430"/>
      <c r="G98" s="430"/>
      <c r="H98" s="430"/>
      <c r="I98" s="430"/>
      <c r="J98" s="430"/>
      <c r="K98" s="430"/>
      <c r="L98" s="417"/>
      <c r="M98" s="417"/>
    </row>
    <row r="99" spans="1:13" x14ac:dyDescent="0.35">
      <c r="A99" s="382"/>
      <c r="B99" s="265" t="str">
        <f>'1. Citrus Group'!B36</f>
        <v>Seylan</v>
      </c>
      <c r="C99" s="224" t="str">
        <f>'1. Citrus Group'!C36</f>
        <v>Current</v>
      </c>
      <c r="D99" s="271" t="str">
        <f>'1. Citrus Group'!D36</f>
        <v>86013589944001</v>
      </c>
      <c r="E99" s="265" t="str">
        <f>'1. Citrus Group'!E36</f>
        <v>LKR</v>
      </c>
      <c r="F99" s="430"/>
      <c r="G99" s="430"/>
      <c r="H99" s="430"/>
      <c r="I99" s="430"/>
      <c r="J99" s="430"/>
      <c r="K99" s="430"/>
      <c r="L99" s="417"/>
      <c r="M99" s="417"/>
    </row>
    <row r="100" spans="1:13" x14ac:dyDescent="0.35">
      <c r="A100" s="365" t="s">
        <v>357</v>
      </c>
      <c r="B100" s="237" t="str">
        <f>'1. Citrus Group'!B38</f>
        <v>Sampath</v>
      </c>
      <c r="C100" s="227" t="str">
        <f>'1. Citrus Group'!C38</f>
        <v>Current</v>
      </c>
      <c r="D100" s="267" t="str">
        <f>'1. Citrus Group'!D38</f>
        <v>002930027831</v>
      </c>
      <c r="E100" s="227" t="str">
        <f>'1. Citrus Group'!E38</f>
        <v>LKR</v>
      </c>
      <c r="F100" s="424"/>
      <c r="G100" s="424"/>
      <c r="H100" s="424"/>
      <c r="I100" s="424"/>
      <c r="J100" s="424"/>
      <c r="K100" s="424"/>
      <c r="L100" s="417"/>
      <c r="M100" s="417"/>
    </row>
    <row r="101" spans="1:13" x14ac:dyDescent="0.35">
      <c r="A101" s="366"/>
      <c r="B101" s="237" t="str">
        <f>'1. Citrus Group'!B39</f>
        <v>Sampath</v>
      </c>
      <c r="C101" s="227" t="str">
        <f>'1. Citrus Group'!C39</f>
        <v>Current</v>
      </c>
      <c r="D101" s="267" t="str">
        <f>'1. Citrus Group'!D39</f>
        <v>002930027858</v>
      </c>
      <c r="E101" s="227" t="str">
        <f>'1. Citrus Group'!E39</f>
        <v>LKR</v>
      </c>
      <c r="F101" s="424"/>
      <c r="G101" s="424"/>
      <c r="H101" s="424"/>
      <c r="I101" s="424"/>
      <c r="J101" s="424"/>
      <c r="K101" s="424"/>
      <c r="L101" s="417"/>
      <c r="M101" s="417"/>
    </row>
    <row r="102" spans="1:13" x14ac:dyDescent="0.35">
      <c r="A102" s="366"/>
      <c r="B102" s="237" t="str">
        <f>'1. Citrus Group'!B40</f>
        <v>Commercial</v>
      </c>
      <c r="C102" s="227" t="str">
        <f>'1. Citrus Group'!C40</f>
        <v>Current</v>
      </c>
      <c r="D102" s="267">
        <f>'1. Citrus Group'!D40</f>
        <v>1000923818</v>
      </c>
      <c r="E102" s="227" t="str">
        <f>'1. Citrus Group'!E40</f>
        <v>LKR</v>
      </c>
      <c r="F102" s="424"/>
      <c r="G102" s="424"/>
      <c r="H102" s="424"/>
      <c r="I102" s="424"/>
      <c r="J102" s="424"/>
      <c r="K102" s="424"/>
      <c r="L102" s="417"/>
      <c r="M102" s="417"/>
    </row>
    <row r="103" spans="1:13" x14ac:dyDescent="0.35">
      <c r="A103" s="366"/>
      <c r="B103" s="237" t="str">
        <f>'1. Citrus Group'!B41</f>
        <v>HNB</v>
      </c>
      <c r="C103" s="227" t="str">
        <f>'1. Citrus Group'!C41</f>
        <v>Current</v>
      </c>
      <c r="D103" s="267" t="str">
        <f>'1. Citrus Group'!D41</f>
        <v>081010011965</v>
      </c>
      <c r="E103" s="227" t="str">
        <f>'1. Citrus Group'!E41</f>
        <v>LKR</v>
      </c>
      <c r="F103" s="424"/>
      <c r="G103" s="424"/>
      <c r="H103" s="424"/>
      <c r="I103" s="424"/>
      <c r="J103" s="424"/>
      <c r="K103" s="424"/>
      <c r="L103" s="417"/>
      <c r="M103" s="417"/>
    </row>
    <row r="104" spans="1:13" x14ac:dyDescent="0.35">
      <c r="A104" s="366"/>
      <c r="B104" s="237" t="str">
        <f>'1. Citrus Group'!B42</f>
        <v>HNB</v>
      </c>
      <c r="C104" s="227" t="str">
        <f>'1. Citrus Group'!C42</f>
        <v>Current</v>
      </c>
      <c r="D104" s="267" t="str">
        <f>'1. Citrus Group'!D42</f>
        <v>202010003330</v>
      </c>
      <c r="E104" s="227" t="str">
        <f>'1. Citrus Group'!E42</f>
        <v>LKR</v>
      </c>
      <c r="F104" s="424"/>
      <c r="G104" s="424"/>
      <c r="H104" s="424"/>
      <c r="I104" s="424"/>
      <c r="J104" s="424"/>
      <c r="K104" s="424"/>
      <c r="L104" s="417"/>
      <c r="M104" s="417"/>
    </row>
    <row r="105" spans="1:13" x14ac:dyDescent="0.35">
      <c r="A105" s="366"/>
      <c r="B105" s="237" t="str">
        <f>'1. Citrus Group'!B43</f>
        <v>HNB</v>
      </c>
      <c r="C105" s="227" t="str">
        <f>'1. Citrus Group'!C43</f>
        <v>Current</v>
      </c>
      <c r="D105" s="267" t="str">
        <f>'1. Citrus Group'!D43</f>
        <v>081010015734</v>
      </c>
      <c r="E105" s="227" t="str">
        <f>'1. Citrus Group'!E43</f>
        <v>LKR</v>
      </c>
      <c r="F105" s="424"/>
      <c r="G105" s="424"/>
      <c r="H105" s="424"/>
      <c r="I105" s="424"/>
      <c r="J105" s="424"/>
      <c r="K105" s="424"/>
      <c r="L105" s="417"/>
      <c r="M105" s="417"/>
    </row>
    <row r="106" spans="1:13" x14ac:dyDescent="0.35">
      <c r="A106" s="366"/>
      <c r="B106" s="237" t="str">
        <f>'1. Citrus Group'!B44</f>
        <v>HNB</v>
      </c>
      <c r="C106" s="227" t="str">
        <f>'1. Citrus Group'!C44</f>
        <v>Current</v>
      </c>
      <c r="D106" s="267" t="str">
        <f>'1. Citrus Group'!D44</f>
        <v>202010003349</v>
      </c>
      <c r="E106" s="227" t="str">
        <f>'1. Citrus Group'!E44</f>
        <v>USD</v>
      </c>
      <c r="F106" s="424"/>
      <c r="G106" s="424"/>
      <c r="H106" s="424"/>
      <c r="I106" s="424"/>
      <c r="J106" s="424"/>
      <c r="K106" s="424"/>
      <c r="L106" s="417"/>
      <c r="M106" s="417"/>
    </row>
    <row r="107" spans="1:13" x14ac:dyDescent="0.35">
      <c r="A107" s="367"/>
      <c r="B107" s="237" t="str">
        <f>'1. Citrus Group'!B45</f>
        <v>PABC</v>
      </c>
      <c r="C107" s="227" t="str">
        <f>'1. Citrus Group'!C45</f>
        <v>Current</v>
      </c>
      <c r="D107" s="267" t="str">
        <f>'1. Citrus Group'!D45</f>
        <v>100311011246</v>
      </c>
      <c r="E107" s="227" t="str">
        <f>'1. Citrus Group'!E45</f>
        <v>LKR</v>
      </c>
      <c r="F107" s="424"/>
      <c r="G107" s="424"/>
      <c r="H107" s="424"/>
      <c r="I107" s="424"/>
      <c r="J107" s="424"/>
      <c r="K107" s="424"/>
      <c r="L107" s="417"/>
      <c r="M107" s="417"/>
    </row>
    <row r="108" spans="1:13" x14ac:dyDescent="0.35">
      <c r="A108" s="368" t="s">
        <v>356</v>
      </c>
      <c r="B108" s="263" t="str">
        <f>'1. Citrus Group'!B5</f>
        <v xml:space="preserve">NDB Wealth </v>
      </c>
      <c r="C108" s="225" t="str">
        <f>'1. Citrus Group'!C5</f>
        <v>Money Market A/C</v>
      </c>
      <c r="D108" s="268" t="str">
        <f>'1. Citrus Group'!D5</f>
        <v>1048445-01</v>
      </c>
      <c r="E108" s="225" t="str">
        <f>'1. Citrus Group'!E5</f>
        <v>LKR</v>
      </c>
      <c r="F108" s="437"/>
      <c r="G108" s="437"/>
      <c r="H108" s="437"/>
      <c r="I108" s="437"/>
      <c r="J108" s="437"/>
      <c r="K108" s="437"/>
      <c r="L108" s="417"/>
      <c r="M108" s="417"/>
    </row>
    <row r="109" spans="1:13" x14ac:dyDescent="0.35">
      <c r="A109" s="369"/>
      <c r="B109" s="263" t="str">
        <f>'1. Citrus Group'!B6</f>
        <v>PABC</v>
      </c>
      <c r="C109" s="225" t="str">
        <f>'1. Citrus Group'!C6</f>
        <v>Current</v>
      </c>
      <c r="D109" s="268" t="str">
        <f>'1. Citrus Group'!D6</f>
        <v>1001 1100 2815</v>
      </c>
      <c r="E109" s="225" t="str">
        <f>'1. Citrus Group'!E6</f>
        <v>LKR</v>
      </c>
      <c r="F109" s="437"/>
      <c r="G109" s="437"/>
      <c r="H109" s="437"/>
      <c r="I109" s="437"/>
      <c r="J109" s="437"/>
      <c r="K109" s="437"/>
      <c r="L109" s="417"/>
      <c r="M109" s="417"/>
    </row>
    <row r="110" spans="1:13" x14ac:dyDescent="0.35">
      <c r="A110" s="369"/>
      <c r="B110" s="263" t="str">
        <f>'1. Citrus Group'!B7</f>
        <v>PABC</v>
      </c>
      <c r="C110" s="225" t="str">
        <f>'1. Citrus Group'!C7</f>
        <v>Current</v>
      </c>
      <c r="D110" s="268" t="str">
        <f>'1. Citrus Group'!D7</f>
        <v>1001 1100 0088</v>
      </c>
      <c r="E110" s="225" t="str">
        <f>'1. Citrus Group'!E7</f>
        <v>LKR</v>
      </c>
      <c r="F110" s="437"/>
      <c r="G110" s="437"/>
      <c r="H110" s="437"/>
      <c r="I110" s="437"/>
      <c r="J110" s="437"/>
      <c r="K110" s="437"/>
      <c r="L110" s="417"/>
      <c r="M110" s="417"/>
    </row>
    <row r="111" spans="1:13" x14ac:dyDescent="0.35">
      <c r="A111" s="369"/>
      <c r="B111" s="263" t="str">
        <f>'1. Citrus Group'!B8</f>
        <v>Sampath</v>
      </c>
      <c r="C111" s="225" t="str">
        <f>'1. Citrus Group'!C8</f>
        <v>Current</v>
      </c>
      <c r="D111" s="268" t="str">
        <f>'1. Citrus Group'!D8</f>
        <v>0012 1000 7225</v>
      </c>
      <c r="E111" s="225" t="str">
        <f>'1. Citrus Group'!E8</f>
        <v>LKR</v>
      </c>
      <c r="F111" s="437"/>
      <c r="G111" s="437"/>
      <c r="H111" s="437"/>
      <c r="I111" s="437"/>
      <c r="J111" s="437"/>
      <c r="K111" s="437"/>
      <c r="L111" s="417"/>
      <c r="M111" s="417"/>
    </row>
    <row r="112" spans="1:13" x14ac:dyDescent="0.35">
      <c r="A112" s="369"/>
      <c r="B112" s="263" t="str">
        <f>'1. Citrus Group'!B9</f>
        <v xml:space="preserve">Seylan </v>
      </c>
      <c r="C112" s="225" t="str">
        <f>'1. Citrus Group'!C9</f>
        <v>Current</v>
      </c>
      <c r="D112" s="268" t="str">
        <f>'1. Citrus Group'!D9</f>
        <v>0860 1358 9928 001</v>
      </c>
      <c r="E112" s="225" t="str">
        <f>'1. Citrus Group'!E9</f>
        <v>LKR</v>
      </c>
      <c r="F112" s="437"/>
      <c r="G112" s="437"/>
      <c r="H112" s="437"/>
      <c r="I112" s="437"/>
      <c r="J112" s="437"/>
      <c r="K112" s="437"/>
      <c r="L112" s="417"/>
      <c r="M112" s="417"/>
    </row>
    <row r="113" spans="1:13" x14ac:dyDescent="0.35">
      <c r="A113" s="369"/>
      <c r="B113" s="263" t="str">
        <f>'1. Citrus Group'!B10</f>
        <v>Commercial</v>
      </c>
      <c r="C113" s="225" t="str">
        <f>'1. Citrus Group'!C10</f>
        <v>Current</v>
      </c>
      <c r="D113" s="268" t="str">
        <f>'1. Citrus Group'!D10</f>
        <v xml:space="preserve">1000 8947 43 </v>
      </c>
      <c r="E113" s="225" t="str">
        <f>'1. Citrus Group'!E10</f>
        <v>LKR</v>
      </c>
      <c r="F113" s="437"/>
      <c r="G113" s="437"/>
      <c r="H113" s="437"/>
      <c r="I113" s="437"/>
      <c r="J113" s="437"/>
      <c r="K113" s="437"/>
      <c r="L113" s="417"/>
      <c r="M113" s="417"/>
    </row>
    <row r="114" spans="1:13" x14ac:dyDescent="0.35">
      <c r="A114" s="369"/>
      <c r="B114" s="263" t="str">
        <f>'1. Citrus Group'!B11</f>
        <v>Peoples - RI</v>
      </c>
      <c r="C114" s="225" t="str">
        <f>'1. Citrus Group'!C11</f>
        <v>Current</v>
      </c>
      <c r="D114" s="268" t="str">
        <f>'1. Citrus Group'!D11</f>
        <v>148 1001 0005 0085</v>
      </c>
      <c r="E114" s="225" t="str">
        <f>'1. Citrus Group'!E11</f>
        <v>LKR</v>
      </c>
      <c r="F114" s="437"/>
      <c r="G114" s="437"/>
      <c r="H114" s="437"/>
      <c r="I114" s="437"/>
      <c r="J114" s="437"/>
      <c r="K114" s="437"/>
      <c r="L114" s="417"/>
      <c r="M114" s="417"/>
    </row>
    <row r="115" spans="1:13" x14ac:dyDescent="0.35">
      <c r="A115" s="370"/>
      <c r="B115" s="263" t="str">
        <f>'1. Citrus Group'!B12</f>
        <v xml:space="preserve">Peoples </v>
      </c>
      <c r="C115" s="225" t="str">
        <f>'1. Citrus Group'!C12</f>
        <v>Current</v>
      </c>
      <c r="D115" s="268" t="str">
        <f>'1. Citrus Group'!D12</f>
        <v>1361 001 034 18931</v>
      </c>
      <c r="E115" s="225" t="str">
        <f>'1. Citrus Group'!E12</f>
        <v>LKR</v>
      </c>
      <c r="F115" s="437"/>
      <c r="G115" s="437"/>
      <c r="H115" s="437"/>
      <c r="I115" s="437"/>
      <c r="J115" s="437"/>
      <c r="K115" s="437"/>
      <c r="L115" s="417"/>
      <c r="M115" s="417"/>
    </row>
    <row r="116" spans="1:13" x14ac:dyDescent="0.35">
      <c r="A116" s="371" t="s">
        <v>354</v>
      </c>
      <c r="B116" s="266" t="str">
        <f>'1. Citrus Group'!B47</f>
        <v>Commercial</v>
      </c>
      <c r="C116" s="266" t="str">
        <f>'1. Citrus Group'!C47</f>
        <v>Current</v>
      </c>
      <c r="D116" s="269">
        <f>'1. Citrus Group'!D47</f>
        <v>1000925102</v>
      </c>
      <c r="E116" s="266" t="str">
        <f>'1. Citrus Group'!E47</f>
        <v>LKR</v>
      </c>
      <c r="F116" s="430"/>
      <c r="G116" s="430"/>
      <c r="H116" s="430"/>
      <c r="I116" s="430"/>
      <c r="J116" s="430"/>
      <c r="K116" s="430"/>
      <c r="L116" s="417"/>
      <c r="M116" s="417"/>
    </row>
    <row r="117" spans="1:13" x14ac:dyDescent="0.35">
      <c r="A117" s="372"/>
      <c r="B117" s="266" t="str">
        <f>'1. Citrus Group'!B48</f>
        <v>HNB</v>
      </c>
      <c r="C117" s="266" t="str">
        <f>'1. Citrus Group'!C48</f>
        <v>Current</v>
      </c>
      <c r="D117" s="269" t="str">
        <f>'1. Citrus Group'!D48</f>
        <v>081010014515</v>
      </c>
      <c r="E117" s="266" t="str">
        <f>'1. Citrus Group'!E48</f>
        <v>LKR</v>
      </c>
      <c r="F117" s="430"/>
      <c r="G117" s="430"/>
      <c r="H117" s="430"/>
      <c r="I117" s="430"/>
      <c r="J117" s="430"/>
      <c r="K117" s="430"/>
      <c r="L117" s="417"/>
      <c r="M117" s="417"/>
    </row>
    <row r="118" spans="1:13" x14ac:dyDescent="0.35">
      <c r="F118" s="5"/>
      <c r="G118" s="5"/>
      <c r="H118" s="5"/>
      <c r="I118" s="5"/>
      <c r="J118" s="5"/>
      <c r="K118" s="5"/>
    </row>
  </sheetData>
  <mergeCells count="10">
    <mergeCell ref="A100:A107"/>
    <mergeCell ref="A108:A115"/>
    <mergeCell ref="A116:A117"/>
    <mergeCell ref="A5:A22"/>
    <mergeCell ref="A23:A37"/>
    <mergeCell ref="A38:A53"/>
    <mergeCell ref="A54:A63"/>
    <mergeCell ref="A78:A85"/>
    <mergeCell ref="A86:A99"/>
    <mergeCell ref="A64:A77"/>
  </mergeCells>
  <pageMargins left="0.7" right="0.7" top="0.75" bottom="0.75" header="0.3" footer="0.3"/>
  <pageSetup paperSize="9" scale="77" orientation="landscape" r:id="rId1"/>
  <rowBreaks count="1" manualBreakCount="1">
    <brk id="76" max="12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54F3-4F9F-4789-AC41-ABEFD7E4AC31}">
  <sheetPr>
    <tabColor rgb="FF92D050"/>
  </sheetPr>
  <dimension ref="A2:L215"/>
  <sheetViews>
    <sheetView showGridLines="0" zoomScale="106" zoomScaleNormal="106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I5" sqref="I5"/>
    </sheetView>
  </sheetViews>
  <sheetFormatPr defaultRowHeight="14.5" x14ac:dyDescent="0.35"/>
  <cols>
    <col min="1" max="1" width="23.453125" customWidth="1"/>
    <col min="2" max="2" width="16" bestFit="1" customWidth="1"/>
    <col min="3" max="3" width="18.54296875" customWidth="1"/>
    <col min="4" max="4" width="20.1796875" bestFit="1" customWidth="1"/>
    <col min="5" max="5" width="14.453125" bestFit="1" customWidth="1"/>
    <col min="6" max="6" width="12.1796875" customWidth="1"/>
    <col min="7" max="7" width="13.81640625" customWidth="1"/>
    <col min="8" max="8" width="15.90625" customWidth="1"/>
    <col min="9" max="9" width="12.6328125" style="5" customWidth="1"/>
    <col min="10" max="10" width="11.453125" customWidth="1"/>
    <col min="11" max="11" width="12.7265625" bestFit="1" customWidth="1"/>
  </cols>
  <sheetData>
    <row r="2" spans="1:10" ht="21" x14ac:dyDescent="0.35">
      <c r="A2" s="4" t="s">
        <v>33</v>
      </c>
    </row>
    <row r="3" spans="1:10" x14ac:dyDescent="0.35">
      <c r="J3" s="5"/>
    </row>
    <row r="4" spans="1:10" s="74" customFormat="1" x14ac:dyDescent="0.35">
      <c r="A4" s="6" t="s">
        <v>34</v>
      </c>
      <c r="B4" s="7"/>
      <c r="C4" s="8"/>
      <c r="D4" s="9"/>
      <c r="E4" s="10"/>
      <c r="F4" s="7"/>
      <c r="G4" s="8"/>
      <c r="H4" s="11"/>
      <c r="I4" s="10"/>
    </row>
    <row r="5" spans="1:10" s="74" customFormat="1" ht="58" x14ac:dyDescent="0.35">
      <c r="A5" s="13" t="s">
        <v>35</v>
      </c>
      <c r="B5" s="14" t="s">
        <v>3</v>
      </c>
      <c r="C5" s="14" t="s">
        <v>36</v>
      </c>
      <c r="D5" s="14" t="s">
        <v>37</v>
      </c>
      <c r="E5" s="15" t="s">
        <v>38</v>
      </c>
      <c r="F5" s="16" t="s">
        <v>54</v>
      </c>
      <c r="G5" s="16" t="s">
        <v>40</v>
      </c>
      <c r="H5" s="16" t="s">
        <v>41</v>
      </c>
      <c r="I5" s="16" t="s">
        <v>285</v>
      </c>
    </row>
    <row r="6" spans="1:10" s="74" customFormat="1" x14ac:dyDescent="0.35">
      <c r="A6" s="351" t="s">
        <v>283</v>
      </c>
      <c r="B6" s="221" t="str">
        <f>'3. GSH'!B6</f>
        <v>BOC</v>
      </c>
      <c r="C6" s="221" t="str">
        <f>'3. GSH'!C6</f>
        <v>Capex funding</v>
      </c>
      <c r="D6" s="221" t="str">
        <f>'3. GSH'!D6</f>
        <v>48 Months</v>
      </c>
      <c r="E6" s="419"/>
      <c r="F6" s="438"/>
      <c r="G6" s="439"/>
      <c r="H6" s="440"/>
      <c r="I6" s="419"/>
    </row>
    <row r="7" spans="1:10" s="74" customFormat="1" x14ac:dyDescent="0.35">
      <c r="A7" s="351"/>
      <c r="B7" s="221" t="str">
        <f>'3. GSH'!B7</f>
        <v>Seylan</v>
      </c>
      <c r="C7" s="221" t="str">
        <f>'3. GSH'!C7</f>
        <v>Vehicle</v>
      </c>
      <c r="D7" s="221" t="str">
        <f>'3. GSH'!D7</f>
        <v>36 Months</v>
      </c>
      <c r="E7" s="419"/>
      <c r="F7" s="438"/>
      <c r="G7" s="439"/>
      <c r="H7" s="440"/>
      <c r="I7" s="419"/>
    </row>
    <row r="8" spans="1:10" s="74" customFormat="1" x14ac:dyDescent="0.35">
      <c r="A8" s="351"/>
      <c r="B8" s="221" t="str">
        <f>'3. GSH'!B8</f>
        <v>Seylan</v>
      </c>
      <c r="C8" s="221" t="str">
        <f>'3. GSH'!C8</f>
        <v>Capex funding</v>
      </c>
      <c r="D8" s="221" t="str">
        <f>'3. GSH'!D8</f>
        <v>84 months - 06 months</v>
      </c>
      <c r="E8" s="419"/>
      <c r="F8" s="441"/>
      <c r="G8" s="439"/>
      <c r="H8" s="440"/>
      <c r="I8" s="419"/>
    </row>
    <row r="9" spans="1:10" s="74" customFormat="1" ht="29" x14ac:dyDescent="0.35">
      <c r="A9" s="351"/>
      <c r="B9" s="221" t="str">
        <f>'3. GSH'!B9</f>
        <v>Seylan</v>
      </c>
      <c r="C9" s="221" t="str">
        <f>'3. GSH'!C9</f>
        <v>Capex funding</v>
      </c>
      <c r="D9" s="222" t="str">
        <f>'3. GSH'!D9</f>
        <v>84 Months with 03 months Grace Period</v>
      </c>
      <c r="E9" s="419"/>
      <c r="F9" s="441"/>
      <c r="G9" s="439"/>
      <c r="H9" s="440"/>
      <c r="I9" s="419"/>
    </row>
    <row r="10" spans="1:10" s="74" customFormat="1" x14ac:dyDescent="0.35">
      <c r="A10" s="353" t="s">
        <v>204</v>
      </c>
      <c r="B10" s="272" t="str">
        <f>'1 &amp; 3 GST'!B46</f>
        <v>BOC</v>
      </c>
      <c r="C10" s="272" t="str">
        <f>'1 &amp; 3 GST'!C46</f>
        <v>Term Loan</v>
      </c>
      <c r="D10" s="272" t="s">
        <v>358</v>
      </c>
      <c r="E10" s="419"/>
      <c r="F10" s="441"/>
      <c r="G10" s="439"/>
      <c r="H10" s="442"/>
      <c r="I10" s="419"/>
    </row>
    <row r="11" spans="1:10" s="74" customFormat="1" ht="15" customHeight="1" x14ac:dyDescent="0.35">
      <c r="A11" s="354"/>
      <c r="B11" s="272" t="str">
        <f>'1 &amp; 3 GST'!B47</f>
        <v>BOC</v>
      </c>
      <c r="C11" s="272" t="str">
        <f>'1 &amp; 3 GST'!C47</f>
        <v>Term Loan</v>
      </c>
      <c r="D11" s="272" t="s">
        <v>358</v>
      </c>
      <c r="E11" s="419"/>
      <c r="F11" s="441"/>
      <c r="G11" s="439"/>
      <c r="H11" s="442"/>
      <c r="I11" s="419"/>
    </row>
    <row r="12" spans="1:10" s="74" customFormat="1" ht="15" customHeight="1" x14ac:dyDescent="0.35">
      <c r="A12" s="354"/>
      <c r="B12" s="272" t="str">
        <f>'1 &amp; 3 GST'!B48</f>
        <v>HNB</v>
      </c>
      <c r="C12" s="272" t="str">
        <f>'1 &amp; 3 GST'!C48</f>
        <v>Term Loan</v>
      </c>
      <c r="D12" s="272" t="s">
        <v>359</v>
      </c>
      <c r="E12" s="419"/>
      <c r="F12" s="441"/>
      <c r="G12" s="439"/>
      <c r="H12" s="442"/>
      <c r="I12" s="419"/>
    </row>
    <row r="13" spans="1:10" s="74" customFormat="1" ht="15" customHeight="1" x14ac:dyDescent="0.35">
      <c r="A13" s="354"/>
      <c r="B13" s="272" t="str">
        <f>'1 &amp; 3 GST'!B49</f>
        <v>HNB</v>
      </c>
      <c r="C13" s="272" t="str">
        <f>'1 &amp; 3 GST'!C49</f>
        <v>Term Loan</v>
      </c>
      <c r="D13" s="272" t="s">
        <v>359</v>
      </c>
      <c r="E13" s="419"/>
      <c r="F13" s="441"/>
      <c r="G13" s="439"/>
      <c r="H13" s="442"/>
      <c r="I13" s="419"/>
    </row>
    <row r="14" spans="1:10" s="74" customFormat="1" ht="15" customHeight="1" x14ac:dyDescent="0.35">
      <c r="A14" s="354"/>
      <c r="B14" s="272" t="str">
        <f>'1 &amp; 3 GST'!B50</f>
        <v>HNB</v>
      </c>
      <c r="C14" s="272" t="str">
        <f>'1 &amp; 3 GST'!C50</f>
        <v>Term Loan</v>
      </c>
      <c r="D14" s="272" t="s">
        <v>359</v>
      </c>
      <c r="E14" s="419"/>
      <c r="F14" s="441"/>
      <c r="G14" s="439"/>
      <c r="H14" s="442"/>
      <c r="I14" s="419"/>
    </row>
    <row r="15" spans="1:10" s="74" customFormat="1" ht="15" customHeight="1" x14ac:dyDescent="0.35">
      <c r="A15" s="354"/>
      <c r="B15" s="272" t="str">
        <f>'1 &amp; 3 GST'!B51</f>
        <v>HNB</v>
      </c>
      <c r="C15" s="272" t="str">
        <f>'1 &amp; 3 GST'!C51</f>
        <v>Term Loan</v>
      </c>
      <c r="D15" s="272" t="s">
        <v>359</v>
      </c>
      <c r="E15" s="419"/>
      <c r="F15" s="441"/>
      <c r="G15" s="439"/>
      <c r="H15" s="442"/>
      <c r="I15" s="419"/>
    </row>
    <row r="16" spans="1:10" s="74" customFormat="1" ht="15" customHeight="1" x14ac:dyDescent="0.35">
      <c r="A16" s="354"/>
      <c r="B16" s="272" t="str">
        <f>'1 &amp; 3 GST'!B52</f>
        <v>PB</v>
      </c>
      <c r="C16" s="272" t="str">
        <f>'1 &amp; 3 GST'!C52</f>
        <v>Term Loan</v>
      </c>
      <c r="D16" s="272" t="s">
        <v>360</v>
      </c>
      <c r="E16" s="419"/>
      <c r="F16" s="441"/>
      <c r="G16" s="439"/>
      <c r="H16" s="442"/>
      <c r="I16" s="419"/>
    </row>
    <row r="17" spans="1:9" s="74" customFormat="1" ht="15" customHeight="1" x14ac:dyDescent="0.35">
      <c r="A17" s="355"/>
      <c r="B17" s="272" t="str">
        <f>'1 &amp; 3 GST'!B53</f>
        <v>PB</v>
      </c>
      <c r="C17" s="272" t="str">
        <f>'1 &amp; 3 GST'!C53</f>
        <v>Term Loan</v>
      </c>
      <c r="D17" s="272" t="s">
        <v>359</v>
      </c>
      <c r="E17" s="419"/>
      <c r="F17" s="441"/>
      <c r="G17" s="439"/>
      <c r="H17" s="442"/>
      <c r="I17" s="419"/>
    </row>
    <row r="18" spans="1:9" s="74" customFormat="1" x14ac:dyDescent="0.35">
      <c r="A18" s="356" t="s">
        <v>286</v>
      </c>
      <c r="B18" s="273" t="str">
        <f>'1 &amp; 3 GS Ticketing'!B32</f>
        <v>NDB</v>
      </c>
      <c r="C18" s="273" t="str">
        <f>'1 &amp; 3 GS Ticketing'!C32</f>
        <v>Moratorium Loan</v>
      </c>
      <c r="D18" s="273" t="str">
        <f>'1 &amp; 3 GS Ticketing'!D32</f>
        <v>5 Years</v>
      </c>
      <c r="E18" s="419"/>
      <c r="F18" s="441"/>
      <c r="G18" s="443"/>
      <c r="H18" s="440"/>
      <c r="I18" s="419"/>
    </row>
    <row r="19" spans="1:9" s="74" customFormat="1" x14ac:dyDescent="0.35">
      <c r="A19" s="357"/>
      <c r="B19" s="273" t="str">
        <f>'1 &amp; 3 GS Ticketing'!B33</f>
        <v>Union</v>
      </c>
      <c r="C19" s="273" t="str">
        <f>'1 &amp; 3 GS Ticketing'!C33</f>
        <v>Vehicle Loan</v>
      </c>
      <c r="D19" s="273" t="str">
        <f>'1 &amp; 3 GS Ticketing'!D33</f>
        <v>5 Years</v>
      </c>
      <c r="E19" s="419"/>
      <c r="F19" s="441"/>
      <c r="G19" s="439"/>
      <c r="H19" s="440"/>
      <c r="I19" s="419"/>
    </row>
    <row r="20" spans="1:9" s="74" customFormat="1" ht="29" x14ac:dyDescent="0.35">
      <c r="A20" s="333" t="s">
        <v>401</v>
      </c>
      <c r="B20" s="335" t="str">
        <f>'2. GSS'!B8</f>
        <v>GS Travel</v>
      </c>
      <c r="C20" s="335" t="str">
        <f>'2. GSS'!C8</f>
        <v>Intercompany</v>
      </c>
      <c r="D20" s="336">
        <f>'2. GSS'!D8</f>
        <v>0</v>
      </c>
      <c r="E20" s="444"/>
      <c r="F20" s="445"/>
      <c r="G20" s="446"/>
      <c r="H20" s="444"/>
      <c r="I20" s="444"/>
    </row>
    <row r="21" spans="1:9" s="74" customFormat="1" x14ac:dyDescent="0.35">
      <c r="A21" s="344" t="s">
        <v>57</v>
      </c>
      <c r="B21" s="345" t="s">
        <v>58</v>
      </c>
      <c r="C21" s="223" t="str">
        <f>'3. Citrus Group'!C8</f>
        <v>Term Loan</v>
      </c>
      <c r="D21" s="223" t="str">
        <f>'3. Citrus Group'!D8</f>
        <v>96 Months</v>
      </c>
      <c r="E21" s="419"/>
      <c r="F21" s="441"/>
      <c r="G21" s="440"/>
      <c r="H21" s="440"/>
      <c r="I21" s="419"/>
    </row>
    <row r="22" spans="1:9" s="74" customFormat="1" x14ac:dyDescent="0.35">
      <c r="A22" s="344"/>
      <c r="B22" s="345"/>
      <c r="C22" s="223" t="str">
        <f>'3. Citrus Group'!C9</f>
        <v>Term Loan</v>
      </c>
      <c r="D22" s="223" t="str">
        <f>'3. Citrus Group'!D9</f>
        <v>96 Months</v>
      </c>
      <c r="E22" s="419"/>
      <c r="F22" s="441"/>
      <c r="G22" s="440"/>
      <c r="H22" s="440"/>
      <c r="I22" s="419"/>
    </row>
    <row r="23" spans="1:9" s="74" customFormat="1" x14ac:dyDescent="0.35">
      <c r="A23" s="344"/>
      <c r="B23" s="345"/>
      <c r="C23" s="223" t="str">
        <f>'3. Citrus Group'!C10</f>
        <v>Moratorium Loan</v>
      </c>
      <c r="D23" s="223" t="str">
        <f>'3. Citrus Group'!D10</f>
        <v>40 Months</v>
      </c>
      <c r="E23" s="419"/>
      <c r="F23" s="441"/>
      <c r="G23" s="447"/>
      <c r="H23" s="440"/>
      <c r="I23" s="419"/>
    </row>
    <row r="24" spans="1:9" s="74" customFormat="1" x14ac:dyDescent="0.35">
      <c r="A24" s="344"/>
      <c r="B24" s="345"/>
      <c r="C24" s="223" t="str">
        <f>'3. Citrus Group'!C11</f>
        <v>Term Loan</v>
      </c>
      <c r="D24" s="223" t="str">
        <f>'3. Citrus Group'!D11</f>
        <v>94 Months</v>
      </c>
      <c r="E24" s="419"/>
      <c r="F24" s="441"/>
      <c r="G24" s="440"/>
      <c r="H24" s="440"/>
      <c r="I24" s="419"/>
    </row>
    <row r="25" spans="1:9" s="74" customFormat="1" x14ac:dyDescent="0.35">
      <c r="A25" s="344"/>
      <c r="B25" s="345"/>
      <c r="C25" s="223" t="str">
        <f>'3. Citrus Group'!C12</f>
        <v>Term Loan</v>
      </c>
      <c r="D25" s="223" t="str">
        <f>'3. Citrus Group'!D12</f>
        <v>96 Months</v>
      </c>
      <c r="E25" s="419"/>
      <c r="F25" s="441"/>
      <c r="G25" s="440"/>
      <c r="H25" s="440"/>
      <c r="I25" s="419"/>
    </row>
    <row r="26" spans="1:9" s="74" customFormat="1" x14ac:dyDescent="0.35">
      <c r="A26" s="346" t="s">
        <v>67</v>
      </c>
      <c r="B26" s="347" t="s">
        <v>58</v>
      </c>
      <c r="C26" s="228" t="str">
        <f>'3. Citrus Group'!C14</f>
        <v>Term Loan</v>
      </c>
      <c r="D26" s="228" t="str">
        <f>'3. Citrus Group'!D14</f>
        <v>95 Months</v>
      </c>
      <c r="E26" s="419"/>
      <c r="F26" s="441"/>
      <c r="G26" s="440"/>
      <c r="H26" s="440"/>
      <c r="I26" s="419"/>
    </row>
    <row r="27" spans="1:9" s="74" customFormat="1" x14ac:dyDescent="0.35">
      <c r="A27" s="346"/>
      <c r="B27" s="347"/>
      <c r="C27" s="228" t="str">
        <f>'3. Citrus Group'!C15</f>
        <v>Term Loan</v>
      </c>
      <c r="D27" s="228" t="str">
        <f>'3. Citrus Group'!D15</f>
        <v>95 Months</v>
      </c>
      <c r="E27" s="419"/>
      <c r="F27" s="441"/>
      <c r="G27" s="440"/>
      <c r="H27" s="440"/>
      <c r="I27" s="419"/>
    </row>
    <row r="28" spans="1:9" s="74" customFormat="1" x14ac:dyDescent="0.35">
      <c r="A28" s="346"/>
      <c r="B28" s="347"/>
      <c r="C28" s="228" t="str">
        <f>'3. Citrus Group'!C16</f>
        <v>Moratorium Loan</v>
      </c>
      <c r="D28" s="228" t="str">
        <f>'3. Citrus Group'!D16</f>
        <v>35 Months</v>
      </c>
      <c r="E28" s="419"/>
      <c r="F28" s="441"/>
      <c r="G28" s="448"/>
      <c r="H28" s="440"/>
      <c r="I28" s="419"/>
    </row>
    <row r="29" spans="1:9" s="74" customFormat="1" x14ac:dyDescent="0.35">
      <c r="A29" s="346"/>
      <c r="B29" s="347"/>
      <c r="C29" s="228" t="str">
        <f>'3. Citrus Group'!C17</f>
        <v>Term Loan</v>
      </c>
      <c r="D29" s="228" t="str">
        <f>'3. Citrus Group'!D17</f>
        <v>94 Months</v>
      </c>
      <c r="E29" s="419"/>
      <c r="F29" s="441"/>
      <c r="G29" s="440"/>
      <c r="H29" s="440"/>
      <c r="I29" s="419"/>
    </row>
    <row r="30" spans="1:9" s="74" customFormat="1" x14ac:dyDescent="0.35">
      <c r="A30" s="346"/>
      <c r="B30" s="347" t="s">
        <v>71</v>
      </c>
      <c r="C30" s="228" t="str">
        <f>'3. Citrus Group'!C18</f>
        <v>Short Term Loan</v>
      </c>
      <c r="D30" s="228" t="str">
        <f>'3. Citrus Group'!D18</f>
        <v>60 Months</v>
      </c>
      <c r="E30" s="419"/>
      <c r="F30" s="441"/>
      <c r="G30" s="440"/>
      <c r="H30" s="440"/>
      <c r="I30" s="419"/>
    </row>
    <row r="31" spans="1:9" s="74" customFormat="1" x14ac:dyDescent="0.35">
      <c r="A31" s="346"/>
      <c r="B31" s="347"/>
      <c r="C31" s="228" t="str">
        <f>'3. Citrus Group'!C19</f>
        <v>Short Term Loan</v>
      </c>
      <c r="D31" s="228" t="str">
        <f>'3. Citrus Group'!D19</f>
        <v>60 Months</v>
      </c>
      <c r="E31" s="419"/>
      <c r="F31" s="441"/>
      <c r="G31" s="448"/>
      <c r="H31" s="440"/>
      <c r="I31" s="419"/>
    </row>
    <row r="32" spans="1:9" s="74" customFormat="1" x14ac:dyDescent="0.35">
      <c r="A32" s="359" t="s">
        <v>76</v>
      </c>
      <c r="B32" s="358" t="s">
        <v>77</v>
      </c>
      <c r="C32" s="226" t="str">
        <f>'3. Citrus Group'!C21</f>
        <v>Term Loan</v>
      </c>
      <c r="D32" s="236" t="str">
        <f>'3. Citrus Group'!D21</f>
        <v>37 Months</v>
      </c>
      <c r="E32" s="430"/>
      <c r="F32" s="449"/>
      <c r="G32" s="450"/>
      <c r="H32" s="450"/>
      <c r="I32" s="430"/>
    </row>
    <row r="33" spans="1:12" s="74" customFormat="1" x14ac:dyDescent="0.35">
      <c r="A33" s="359"/>
      <c r="B33" s="358"/>
      <c r="C33" s="226" t="str">
        <f>'3. Citrus Group'!C22</f>
        <v>Short Term Revolving Loan</v>
      </c>
      <c r="D33" s="236" t="str">
        <f>'3. Citrus Group'!D22</f>
        <v>4 Months</v>
      </c>
      <c r="E33" s="430"/>
      <c r="F33" s="449"/>
      <c r="G33" s="450"/>
      <c r="H33" s="450"/>
      <c r="I33" s="430"/>
    </row>
    <row r="34" spans="1:12" s="74" customFormat="1" x14ac:dyDescent="0.35">
      <c r="C34" s="213"/>
      <c r="I34" s="262"/>
    </row>
    <row r="35" spans="1:12" x14ac:dyDescent="0.35">
      <c r="C35" s="213"/>
    </row>
    <row r="36" spans="1:12" x14ac:dyDescent="0.35">
      <c r="C36" s="213"/>
    </row>
    <row r="39" spans="1:12" x14ac:dyDescent="0.35">
      <c r="A39" s="6" t="s">
        <v>43</v>
      </c>
      <c r="B39" s="17"/>
      <c r="C39" s="18"/>
      <c r="D39" s="6"/>
      <c r="E39" s="19"/>
      <c r="F39" s="17"/>
      <c r="G39" s="18"/>
      <c r="H39" s="426" t="s">
        <v>410</v>
      </c>
      <c r="J39" s="426" t="s">
        <v>407</v>
      </c>
    </row>
    <row r="40" spans="1:12" ht="101.5" x14ac:dyDescent="0.35">
      <c r="A40" s="13" t="s">
        <v>35</v>
      </c>
      <c r="B40" s="14" t="s">
        <v>3</v>
      </c>
      <c r="C40" s="14" t="s">
        <v>44</v>
      </c>
      <c r="D40" s="14" t="s">
        <v>37</v>
      </c>
      <c r="E40" s="15" t="s">
        <v>45</v>
      </c>
      <c r="F40" s="415" t="s">
        <v>402</v>
      </c>
      <c r="G40" s="415" t="s">
        <v>403</v>
      </c>
      <c r="H40" s="415" t="s">
        <v>406</v>
      </c>
      <c r="I40" s="425" t="s">
        <v>404</v>
      </c>
      <c r="J40" s="415" t="s">
        <v>405</v>
      </c>
      <c r="K40" s="425" t="s">
        <v>46</v>
      </c>
      <c r="L40" s="425" t="s">
        <v>284</v>
      </c>
    </row>
    <row r="41" spans="1:12" x14ac:dyDescent="0.35">
      <c r="A41" s="413" t="s">
        <v>283</v>
      </c>
      <c r="B41" s="414" t="str">
        <f>'3. GSH'!B14</f>
        <v>HNB</v>
      </c>
      <c r="C41" s="414" t="str">
        <f>'3. GSH'!C14</f>
        <v>Money Market Loan</v>
      </c>
      <c r="D41" s="414" t="str">
        <f>'3. GSH'!D14</f>
        <v>3 Months Revolving</v>
      </c>
      <c r="E41" s="419"/>
      <c r="F41" s="23"/>
      <c r="G41" s="23"/>
      <c r="H41" s="23"/>
      <c r="I41" s="416"/>
      <c r="J41" s="416"/>
      <c r="K41" s="418"/>
      <c r="L41" s="419"/>
    </row>
    <row r="42" spans="1:12" x14ac:dyDescent="0.35">
      <c r="A42" s="352"/>
      <c r="B42" s="274" t="str">
        <f>'3. GSH'!B15</f>
        <v>HNB</v>
      </c>
      <c r="C42" s="274" t="str">
        <f>'3. GSH'!C15</f>
        <v>Money Market Loan</v>
      </c>
      <c r="D42" s="274" t="str">
        <f>'3. GSH'!D15</f>
        <v>3 Months Revolving</v>
      </c>
      <c r="E42" s="419"/>
      <c r="F42" s="23"/>
      <c r="G42" s="23"/>
      <c r="H42" s="23"/>
      <c r="I42" s="416"/>
      <c r="J42" s="416"/>
      <c r="K42" s="418"/>
      <c r="L42" s="419"/>
    </row>
    <row r="43" spans="1:12" x14ac:dyDescent="0.35">
      <c r="A43" s="353" t="s">
        <v>204</v>
      </c>
      <c r="B43" s="275" t="str">
        <f>'1 &amp; 3 GST'!B59</f>
        <v>HNB</v>
      </c>
      <c r="C43" s="275" t="str">
        <f>'1 &amp; 3 GST'!C59</f>
        <v>PCL USD</v>
      </c>
      <c r="D43" s="275" t="str">
        <f>'1 &amp; 3 GST'!D59</f>
        <v>90 D</v>
      </c>
      <c r="E43" s="419"/>
      <c r="F43" s="23"/>
      <c r="G43" s="23"/>
      <c r="H43" s="23"/>
      <c r="I43" s="416"/>
      <c r="J43" s="416"/>
      <c r="K43" s="418"/>
      <c r="L43" s="420"/>
    </row>
    <row r="44" spans="1:12" x14ac:dyDescent="0.35">
      <c r="A44" s="354"/>
      <c r="B44" s="275" t="str">
        <f>'1 &amp; 3 GST'!B60</f>
        <v>HNB</v>
      </c>
      <c r="C44" s="275" t="str">
        <f>'1 &amp; 3 GST'!C60</f>
        <v>PCL USD</v>
      </c>
      <c r="D44" s="275" t="str">
        <f>'1 &amp; 3 GST'!D60</f>
        <v>90 D</v>
      </c>
      <c r="E44" s="419"/>
      <c r="F44" s="23"/>
      <c r="G44" s="23"/>
      <c r="H44" s="23"/>
      <c r="I44" s="416"/>
      <c r="J44" s="416"/>
      <c r="K44" s="418"/>
      <c r="L44" s="420"/>
    </row>
    <row r="45" spans="1:12" x14ac:dyDescent="0.35">
      <c r="A45" s="354"/>
      <c r="B45" s="275" t="str">
        <f>'1 &amp; 3 GST'!B61</f>
        <v>HNB</v>
      </c>
      <c r="C45" s="275" t="str">
        <f>'1 &amp; 3 GST'!C61</f>
        <v>PCL USD</v>
      </c>
      <c r="D45" s="275" t="str">
        <f>'1 &amp; 3 GST'!D61</f>
        <v>90 D</v>
      </c>
      <c r="E45" s="419"/>
      <c r="F45" s="23"/>
      <c r="G45" s="23"/>
      <c r="H45" s="23"/>
      <c r="I45" s="416"/>
      <c r="J45" s="416"/>
      <c r="K45" s="418"/>
      <c r="L45" s="420"/>
    </row>
    <row r="46" spans="1:12" x14ac:dyDescent="0.35">
      <c r="A46" s="354"/>
      <c r="B46" s="275" t="str">
        <f>'1 &amp; 3 GST'!B62</f>
        <v>BOC</v>
      </c>
      <c r="C46" s="275" t="str">
        <f>'1 &amp; 3 GST'!C62</f>
        <v>PCL USD</v>
      </c>
      <c r="D46" s="275" t="str">
        <f>'1 &amp; 3 GST'!D62</f>
        <v>90 D</v>
      </c>
      <c r="E46" s="419"/>
      <c r="F46" s="23"/>
      <c r="G46" s="23"/>
      <c r="H46" s="23"/>
      <c r="I46" s="416"/>
      <c r="J46" s="416"/>
      <c r="K46" s="418"/>
      <c r="L46" s="420"/>
    </row>
    <row r="47" spans="1:12" x14ac:dyDescent="0.35">
      <c r="A47" s="354"/>
      <c r="B47" s="275" t="str">
        <f>'1 &amp; 3 GST'!B63</f>
        <v>BOC</v>
      </c>
      <c r="C47" s="275" t="str">
        <f>'1 &amp; 3 GST'!C63</f>
        <v>PCL USD</v>
      </c>
      <c r="D47" s="275" t="str">
        <f>'1 &amp; 3 GST'!D63</f>
        <v>90 D</v>
      </c>
      <c r="E47" s="419"/>
      <c r="F47" s="23"/>
      <c r="G47" s="23"/>
      <c r="H47" s="23"/>
      <c r="I47" s="416"/>
      <c r="J47" s="416"/>
      <c r="K47" s="418"/>
      <c r="L47" s="420"/>
    </row>
    <row r="48" spans="1:12" x14ac:dyDescent="0.35">
      <c r="A48" s="354"/>
      <c r="B48" s="275" t="str">
        <f>'1 &amp; 3 GST'!B64</f>
        <v>BOC</v>
      </c>
      <c r="C48" s="275" t="str">
        <f>'1 &amp; 3 GST'!C64</f>
        <v>PCL USD</v>
      </c>
      <c r="D48" s="275" t="str">
        <f>'1 &amp; 3 GST'!D64</f>
        <v>90 D</v>
      </c>
      <c r="E48" s="419"/>
      <c r="F48" s="23"/>
      <c r="G48" s="23"/>
      <c r="H48" s="23"/>
      <c r="I48" s="416"/>
      <c r="J48" s="416"/>
      <c r="K48" s="418"/>
      <c r="L48" s="420"/>
    </row>
    <row r="49" spans="1:12" x14ac:dyDescent="0.35">
      <c r="A49" s="354"/>
      <c r="B49" s="275" t="str">
        <f>'1 &amp; 3 GST'!B65</f>
        <v>BOC</v>
      </c>
      <c r="C49" s="275" t="str">
        <f>'1 &amp; 3 GST'!C65</f>
        <v>PCL USD</v>
      </c>
      <c r="D49" s="275" t="str">
        <f>'1 &amp; 3 GST'!D65</f>
        <v>90 D</v>
      </c>
      <c r="E49" s="419"/>
      <c r="F49" s="23"/>
      <c r="G49" s="23"/>
      <c r="H49" s="23"/>
      <c r="I49" s="416"/>
      <c r="J49" s="416"/>
      <c r="K49" s="418"/>
      <c r="L49" s="420"/>
    </row>
    <row r="50" spans="1:12" x14ac:dyDescent="0.35">
      <c r="A50" s="354"/>
      <c r="B50" s="275" t="str">
        <f>'1 &amp; 3 GST'!B66</f>
        <v>Peoppes</v>
      </c>
      <c r="C50" s="275" t="str">
        <f>'1 &amp; 3 GST'!C66</f>
        <v>PCL USD</v>
      </c>
      <c r="D50" s="275" t="str">
        <f>'1 &amp; 3 GST'!D66</f>
        <v>90 D</v>
      </c>
      <c r="E50" s="419"/>
      <c r="F50" s="23"/>
      <c r="G50" s="23"/>
      <c r="H50" s="23"/>
      <c r="I50" s="416"/>
      <c r="J50" s="416"/>
      <c r="K50" s="418"/>
      <c r="L50" s="420"/>
    </row>
    <row r="51" spans="1:12" x14ac:dyDescent="0.35">
      <c r="A51" s="354"/>
      <c r="B51" s="275" t="str">
        <f>'1 &amp; 3 GST'!B67</f>
        <v>SEYLAN</v>
      </c>
      <c r="C51" s="275" t="str">
        <f>'1 &amp; 3 GST'!C67</f>
        <v>PCL USD</v>
      </c>
      <c r="D51" s="275" t="str">
        <f>'1 &amp; 3 GST'!D67</f>
        <v>90 D</v>
      </c>
      <c r="E51" s="419"/>
      <c r="F51" s="23"/>
      <c r="G51" s="23"/>
      <c r="H51" s="23"/>
      <c r="I51" s="416"/>
      <c r="J51" s="416"/>
      <c r="K51" s="418"/>
      <c r="L51" s="420"/>
    </row>
    <row r="52" spans="1:12" x14ac:dyDescent="0.35">
      <c r="A52" s="354"/>
      <c r="B52" s="275" t="str">
        <f>'1 &amp; 3 GST'!B68</f>
        <v>SEYLAN</v>
      </c>
      <c r="C52" s="275" t="str">
        <f>'1 &amp; 3 GST'!C68</f>
        <v>PCL USD</v>
      </c>
      <c r="D52" s="275" t="str">
        <f>'1 &amp; 3 GST'!D68</f>
        <v>90 D</v>
      </c>
      <c r="E52" s="419"/>
      <c r="F52" s="23"/>
      <c r="G52" s="23"/>
      <c r="H52" s="23"/>
      <c r="I52" s="416"/>
      <c r="J52" s="416"/>
      <c r="K52" s="418"/>
      <c r="L52" s="420"/>
    </row>
    <row r="53" spans="1:12" x14ac:dyDescent="0.35">
      <c r="A53" s="354"/>
      <c r="B53" s="275" t="str">
        <f>'1 &amp; 3 GST'!B69</f>
        <v>SEYLAN</v>
      </c>
      <c r="C53" s="275" t="str">
        <f>'1 &amp; 3 GST'!C69</f>
        <v>PCL USD</v>
      </c>
      <c r="D53" s="275" t="str">
        <f>'1 &amp; 3 GST'!D69</f>
        <v>90 D</v>
      </c>
      <c r="E53" s="419"/>
      <c r="F53" s="23"/>
      <c r="G53" s="23"/>
      <c r="H53" s="23"/>
      <c r="I53" s="416"/>
      <c r="J53" s="416"/>
      <c r="K53" s="418"/>
      <c r="L53" s="420"/>
    </row>
    <row r="54" spans="1:12" x14ac:dyDescent="0.35">
      <c r="A54" s="354"/>
      <c r="B54" s="275" t="str">
        <f>'1 &amp; 3 GST'!B70</f>
        <v xml:space="preserve">NDB </v>
      </c>
      <c r="C54" s="275" t="str">
        <f>'1 &amp; 3 GST'!C70</f>
        <v>PCL LKR</v>
      </c>
      <c r="D54" s="275" t="str">
        <f>'1 &amp; 3 GST'!D70</f>
        <v>120 D</v>
      </c>
      <c r="E54" s="419"/>
      <c r="F54" s="23"/>
      <c r="G54" s="23"/>
      <c r="H54" s="23"/>
      <c r="I54" s="416"/>
      <c r="J54" s="416"/>
      <c r="K54" s="418"/>
      <c r="L54" s="420"/>
    </row>
    <row r="55" spans="1:12" x14ac:dyDescent="0.35">
      <c r="A55" s="354"/>
      <c r="B55" s="275" t="str">
        <f>'1 &amp; 3 GST'!B71</f>
        <v xml:space="preserve">NDB </v>
      </c>
      <c r="C55" s="275" t="str">
        <f>'1 &amp; 3 GST'!C71</f>
        <v>PCL LKR</v>
      </c>
      <c r="D55" s="275" t="str">
        <f>'1 &amp; 3 GST'!D71</f>
        <v>120 D</v>
      </c>
      <c r="E55" s="419"/>
      <c r="F55" s="23"/>
      <c r="G55" s="23"/>
      <c r="H55" s="23"/>
      <c r="I55" s="416"/>
      <c r="J55" s="416"/>
      <c r="K55" s="418"/>
      <c r="L55" s="420"/>
    </row>
    <row r="56" spans="1:12" x14ac:dyDescent="0.35">
      <c r="A56" s="354"/>
      <c r="B56" s="275" t="str">
        <f>'1 &amp; 3 GST'!B72</f>
        <v xml:space="preserve">NDB </v>
      </c>
      <c r="C56" s="275" t="str">
        <f>'1 &amp; 3 GST'!C72</f>
        <v>PCL LKR</v>
      </c>
      <c r="D56" s="275" t="str">
        <f>'1 &amp; 3 GST'!D72</f>
        <v>120 D</v>
      </c>
      <c r="E56" s="419"/>
      <c r="F56" s="23"/>
      <c r="G56" s="23"/>
      <c r="H56" s="23"/>
      <c r="I56" s="416"/>
      <c r="J56" s="416"/>
      <c r="K56" s="418"/>
      <c r="L56" s="420"/>
    </row>
    <row r="57" spans="1:12" x14ac:dyDescent="0.35">
      <c r="A57" s="354"/>
      <c r="B57" s="275" t="str">
        <f>'1 &amp; 3 GST'!B73</f>
        <v xml:space="preserve">NDB </v>
      </c>
      <c r="C57" s="275" t="str">
        <f>'1 &amp; 3 GST'!C73</f>
        <v>PCL LKR</v>
      </c>
      <c r="D57" s="275" t="str">
        <f>'1 &amp; 3 GST'!D73</f>
        <v>120 D</v>
      </c>
      <c r="E57" s="419"/>
      <c r="F57" s="23"/>
      <c r="G57" s="23"/>
      <c r="H57" s="23"/>
      <c r="I57" s="416"/>
      <c r="J57" s="416"/>
      <c r="K57" s="418"/>
      <c r="L57" s="420"/>
    </row>
    <row r="58" spans="1:12" x14ac:dyDescent="0.35">
      <c r="A58" s="354"/>
      <c r="B58" s="275" t="str">
        <f>'1 &amp; 3 GST'!B74</f>
        <v xml:space="preserve">NDB </v>
      </c>
      <c r="C58" s="275" t="str">
        <f>'1 &amp; 3 GST'!C74</f>
        <v>PCL LKR</v>
      </c>
      <c r="D58" s="275" t="str">
        <f>'1 &amp; 3 GST'!D74</f>
        <v>120 D</v>
      </c>
      <c r="E58" s="419"/>
      <c r="F58" s="23"/>
      <c r="G58" s="23"/>
      <c r="H58" s="23"/>
      <c r="I58" s="416"/>
      <c r="J58" s="416"/>
      <c r="K58" s="418"/>
      <c r="L58" s="420"/>
    </row>
    <row r="59" spans="1:12" x14ac:dyDescent="0.35">
      <c r="A59" s="354"/>
      <c r="B59" s="275" t="str">
        <f>'1 &amp; 3 GST'!B75</f>
        <v xml:space="preserve">NDB </v>
      </c>
      <c r="C59" s="275" t="str">
        <f>'1 &amp; 3 GST'!C75</f>
        <v>PCL LKR</v>
      </c>
      <c r="D59" s="275" t="str">
        <f>'1 &amp; 3 GST'!D75</f>
        <v>120 D</v>
      </c>
      <c r="E59" s="419"/>
      <c r="F59" s="23"/>
      <c r="G59" s="23"/>
      <c r="H59" s="23"/>
      <c r="I59" s="416"/>
      <c r="J59" s="416"/>
      <c r="K59" s="418"/>
      <c r="L59" s="420"/>
    </row>
    <row r="60" spans="1:12" x14ac:dyDescent="0.35">
      <c r="A60" s="354"/>
      <c r="B60" s="275" t="str">
        <f>'1 &amp; 3 GST'!B76</f>
        <v xml:space="preserve">NDB </v>
      </c>
      <c r="C60" s="275" t="str">
        <f>'1 &amp; 3 GST'!C76</f>
        <v>PCL LKR</v>
      </c>
      <c r="D60" s="275" t="str">
        <f>'1 &amp; 3 GST'!D76</f>
        <v>120 D</v>
      </c>
      <c r="E60" s="419"/>
      <c r="F60" s="23"/>
      <c r="G60" s="23"/>
      <c r="H60" s="23"/>
      <c r="I60" s="416"/>
      <c r="J60" s="416"/>
      <c r="K60" s="418"/>
      <c r="L60" s="420"/>
    </row>
    <row r="61" spans="1:12" x14ac:dyDescent="0.35">
      <c r="A61" s="354"/>
      <c r="B61" s="275" t="str">
        <f>'1 &amp; 3 GST'!B77</f>
        <v xml:space="preserve">NDB </v>
      </c>
      <c r="C61" s="275" t="str">
        <f>'1 &amp; 3 GST'!C77</f>
        <v>PCL LKR</v>
      </c>
      <c r="D61" s="275" t="str">
        <f>'1 &amp; 3 GST'!D77</f>
        <v>120 D</v>
      </c>
      <c r="E61" s="419"/>
      <c r="F61" s="23"/>
      <c r="G61" s="23"/>
      <c r="H61" s="23"/>
      <c r="I61" s="416"/>
      <c r="J61" s="416"/>
      <c r="K61" s="418"/>
      <c r="L61" s="420"/>
    </row>
    <row r="62" spans="1:12" x14ac:dyDescent="0.35">
      <c r="A62" s="354"/>
      <c r="B62" s="275" t="str">
        <f>'1 &amp; 3 GST'!B78</f>
        <v xml:space="preserve">NDB </v>
      </c>
      <c r="C62" s="275" t="str">
        <f>'1 &amp; 3 GST'!C78</f>
        <v>PCL LKR</v>
      </c>
      <c r="D62" s="275" t="str">
        <f>'1 &amp; 3 GST'!D78</f>
        <v>120 D</v>
      </c>
      <c r="E62" s="419"/>
      <c r="F62" s="23"/>
      <c r="G62" s="23"/>
      <c r="H62" s="23"/>
      <c r="I62" s="416"/>
      <c r="J62" s="416"/>
      <c r="K62" s="418"/>
      <c r="L62" s="420"/>
    </row>
    <row r="63" spans="1:12" x14ac:dyDescent="0.35">
      <c r="A63" s="354"/>
      <c r="B63" s="275" t="str">
        <f>'1 &amp; 3 GST'!B79</f>
        <v xml:space="preserve">NDB </v>
      </c>
      <c r="C63" s="275" t="str">
        <f>'1 &amp; 3 GST'!C79</f>
        <v>PCL LKR</v>
      </c>
      <c r="D63" s="275" t="str">
        <f>'1 &amp; 3 GST'!D79</f>
        <v>120 D</v>
      </c>
      <c r="E63" s="419"/>
      <c r="F63" s="23"/>
      <c r="G63" s="23"/>
      <c r="H63" s="23"/>
      <c r="I63" s="416"/>
      <c r="J63" s="416"/>
      <c r="K63" s="418"/>
      <c r="L63" s="420"/>
    </row>
    <row r="64" spans="1:12" x14ac:dyDescent="0.35">
      <c r="A64" s="354"/>
      <c r="B64" s="275" t="str">
        <f>'1 &amp; 3 GST'!B80</f>
        <v xml:space="preserve">NDB </v>
      </c>
      <c r="C64" s="275" t="str">
        <f>'1 &amp; 3 GST'!C80</f>
        <v>PCL LKR</v>
      </c>
      <c r="D64" s="275" t="str">
        <f>'1 &amp; 3 GST'!D80</f>
        <v>120 D</v>
      </c>
      <c r="E64" s="419"/>
      <c r="F64" s="23"/>
      <c r="G64" s="23"/>
      <c r="H64" s="23"/>
      <c r="I64" s="416"/>
      <c r="J64" s="416"/>
      <c r="K64" s="418"/>
      <c r="L64" s="420"/>
    </row>
    <row r="65" spans="1:12" x14ac:dyDescent="0.35">
      <c r="A65" s="354"/>
      <c r="B65" s="275" t="str">
        <f>'1 &amp; 3 GST'!B81</f>
        <v xml:space="preserve">NDB </v>
      </c>
      <c r="C65" s="275" t="str">
        <f>'1 &amp; 3 GST'!C81</f>
        <v>PCL LKR</v>
      </c>
      <c r="D65" s="275" t="str">
        <f>'1 &amp; 3 GST'!D81</f>
        <v>120 D</v>
      </c>
      <c r="E65" s="419"/>
      <c r="F65" s="23"/>
      <c r="G65" s="23"/>
      <c r="H65" s="23"/>
      <c r="I65" s="416"/>
      <c r="J65" s="416"/>
      <c r="K65" s="418"/>
      <c r="L65" s="420"/>
    </row>
    <row r="66" spans="1:12" x14ac:dyDescent="0.35">
      <c r="A66" s="354"/>
      <c r="B66" s="275" t="str">
        <f>'1 &amp; 3 GST'!B82</f>
        <v xml:space="preserve">NDB </v>
      </c>
      <c r="C66" s="275" t="str">
        <f>'1 &amp; 3 GST'!C82</f>
        <v>PCL LKR</v>
      </c>
      <c r="D66" s="275" t="str">
        <f>'1 &amp; 3 GST'!D82</f>
        <v>120 D</v>
      </c>
      <c r="E66" s="419"/>
      <c r="F66" s="23"/>
      <c r="G66" s="23"/>
      <c r="H66" s="23"/>
      <c r="I66" s="416"/>
      <c r="J66" s="416"/>
      <c r="K66" s="418"/>
      <c r="L66" s="420"/>
    </row>
    <row r="67" spans="1:12" x14ac:dyDescent="0.35">
      <c r="A67" s="354"/>
      <c r="B67" s="275" t="str">
        <f>'1 &amp; 3 GST'!B83</f>
        <v>HNB</v>
      </c>
      <c r="C67" s="275" t="str">
        <f>'1 &amp; 3 GST'!C83</f>
        <v>PCL LKR</v>
      </c>
      <c r="D67" s="275" t="str">
        <f>'1 &amp; 3 GST'!D83</f>
        <v>90 D</v>
      </c>
      <c r="E67" s="419"/>
      <c r="F67" s="23"/>
      <c r="G67" s="23"/>
      <c r="H67" s="23"/>
      <c r="I67" s="416"/>
      <c r="J67" s="416"/>
      <c r="K67" s="418"/>
      <c r="L67" s="420"/>
    </row>
    <row r="68" spans="1:12" x14ac:dyDescent="0.35">
      <c r="A68" s="354"/>
      <c r="B68" s="275" t="str">
        <f>'1 &amp; 3 GST'!B84</f>
        <v>HNB</v>
      </c>
      <c r="C68" s="275" t="str">
        <f>'1 &amp; 3 GST'!C84</f>
        <v>PCL LKR</v>
      </c>
      <c r="D68" s="275" t="str">
        <f>'1 &amp; 3 GST'!D84</f>
        <v>90 D</v>
      </c>
      <c r="E68" s="419"/>
      <c r="F68" s="23"/>
      <c r="G68" s="23"/>
      <c r="H68" s="23"/>
      <c r="I68" s="416"/>
      <c r="J68" s="416"/>
      <c r="K68" s="418"/>
      <c r="L68" s="420"/>
    </row>
    <row r="69" spans="1:12" x14ac:dyDescent="0.35">
      <c r="A69" s="354"/>
      <c r="B69" s="275" t="str">
        <f>'1 &amp; 3 GST'!B85</f>
        <v>HNB</v>
      </c>
      <c r="C69" s="275" t="str">
        <f>'1 &amp; 3 GST'!C85</f>
        <v>PCL LKR</v>
      </c>
      <c r="D69" s="275" t="str">
        <f>'1 &amp; 3 GST'!D85</f>
        <v>90 D</v>
      </c>
      <c r="E69" s="419"/>
      <c r="F69" s="23"/>
      <c r="G69" s="23"/>
      <c r="H69" s="23"/>
      <c r="I69" s="416"/>
      <c r="J69" s="416"/>
      <c r="K69" s="418"/>
      <c r="L69" s="420"/>
    </row>
    <row r="70" spans="1:12" x14ac:dyDescent="0.35">
      <c r="A70" s="354"/>
      <c r="B70" s="275" t="str">
        <f>'1 &amp; 3 GST'!B86</f>
        <v>HNB</v>
      </c>
      <c r="C70" s="275" t="str">
        <f>'1 &amp; 3 GST'!C86</f>
        <v>PCL LKR</v>
      </c>
      <c r="D70" s="275" t="str">
        <f>'1 &amp; 3 GST'!D86</f>
        <v>90 D</v>
      </c>
      <c r="E70" s="419"/>
      <c r="F70" s="23"/>
      <c r="G70" s="23"/>
      <c r="H70" s="23"/>
      <c r="I70" s="416"/>
      <c r="J70" s="416"/>
      <c r="K70" s="418"/>
      <c r="L70" s="420"/>
    </row>
    <row r="71" spans="1:12" x14ac:dyDescent="0.35">
      <c r="A71" s="354"/>
      <c r="B71" s="275" t="str">
        <f>'1 &amp; 3 GST'!B87</f>
        <v>HNB</v>
      </c>
      <c r="C71" s="275" t="str">
        <f>'1 &amp; 3 GST'!C87</f>
        <v>PCL LKR</v>
      </c>
      <c r="D71" s="275" t="str">
        <f>'1 &amp; 3 GST'!D87</f>
        <v>90 D</v>
      </c>
      <c r="E71" s="419"/>
      <c r="F71" s="23"/>
      <c r="G71" s="23"/>
      <c r="H71" s="23"/>
      <c r="I71" s="416"/>
      <c r="J71" s="416"/>
      <c r="K71" s="418"/>
      <c r="L71" s="420"/>
    </row>
    <row r="72" spans="1:12" x14ac:dyDescent="0.35">
      <c r="A72" s="354"/>
      <c r="B72" s="275" t="str">
        <f>'1 &amp; 3 GST'!B88</f>
        <v>HNB</v>
      </c>
      <c r="C72" s="275" t="str">
        <f>'1 &amp; 3 GST'!C88</f>
        <v>PCL LKR</v>
      </c>
      <c r="D72" s="275" t="str">
        <f>'1 &amp; 3 GST'!D88</f>
        <v>90 D</v>
      </c>
      <c r="E72" s="419"/>
      <c r="F72" s="23"/>
      <c r="G72" s="23"/>
      <c r="H72" s="23"/>
      <c r="I72" s="416"/>
      <c r="J72" s="416"/>
      <c r="K72" s="418"/>
      <c r="L72" s="420"/>
    </row>
    <row r="73" spans="1:12" x14ac:dyDescent="0.35">
      <c r="A73" s="354"/>
      <c r="B73" s="275" t="str">
        <f>'1 &amp; 3 GST'!B89</f>
        <v>HNB</v>
      </c>
      <c r="C73" s="275" t="str">
        <f>'1 &amp; 3 GST'!C89</f>
        <v>PCL LKR</v>
      </c>
      <c r="D73" s="275" t="str">
        <f>'1 &amp; 3 GST'!D89</f>
        <v>90 D</v>
      </c>
      <c r="E73" s="419"/>
      <c r="F73" s="23"/>
      <c r="G73" s="23"/>
      <c r="H73" s="23"/>
      <c r="I73" s="416"/>
      <c r="J73" s="416"/>
      <c r="K73" s="418"/>
      <c r="L73" s="420"/>
    </row>
    <row r="74" spans="1:12" x14ac:dyDescent="0.35">
      <c r="A74" s="354"/>
      <c r="B74" s="275" t="str">
        <f>'1 &amp; 3 GST'!B90</f>
        <v>HNB</v>
      </c>
      <c r="C74" s="275" t="str">
        <f>'1 &amp; 3 GST'!C90</f>
        <v>PCL LKR</v>
      </c>
      <c r="D74" s="275" t="str">
        <f>'1 &amp; 3 GST'!D90</f>
        <v>90 D</v>
      </c>
      <c r="E74" s="419"/>
      <c r="F74" s="23"/>
      <c r="G74" s="23"/>
      <c r="H74" s="23"/>
      <c r="I74" s="416"/>
      <c r="J74" s="416"/>
      <c r="K74" s="418"/>
      <c r="L74" s="420"/>
    </row>
    <row r="75" spans="1:12" x14ac:dyDescent="0.35">
      <c r="A75" s="354"/>
      <c r="B75" s="275" t="str">
        <f>'1 &amp; 3 GST'!B91</f>
        <v>HNB</v>
      </c>
      <c r="C75" s="275" t="str">
        <f>'1 &amp; 3 GST'!C91</f>
        <v>PCL LKR</v>
      </c>
      <c r="D75" s="275" t="str">
        <f>'1 &amp; 3 GST'!D91</f>
        <v>90 D</v>
      </c>
      <c r="E75" s="419"/>
      <c r="F75" s="23"/>
      <c r="G75" s="23"/>
      <c r="H75" s="23"/>
      <c r="I75" s="416"/>
      <c r="J75" s="416"/>
      <c r="K75" s="418"/>
      <c r="L75" s="420"/>
    </row>
    <row r="76" spans="1:12" x14ac:dyDescent="0.35">
      <c r="A76" s="354"/>
      <c r="B76" s="275" t="str">
        <f>'1 &amp; 3 GST'!B92</f>
        <v xml:space="preserve">PB </v>
      </c>
      <c r="C76" s="275" t="str">
        <f>'1 &amp; 3 GST'!C92</f>
        <v>PCL LKR</v>
      </c>
      <c r="D76" s="275" t="str">
        <f>'1 &amp; 3 GST'!D92</f>
        <v>90 D</v>
      </c>
      <c r="E76" s="419"/>
      <c r="F76" s="23"/>
      <c r="G76" s="23"/>
      <c r="H76" s="23"/>
      <c r="I76" s="416"/>
      <c r="J76" s="416"/>
      <c r="K76" s="418"/>
      <c r="L76" s="420"/>
    </row>
    <row r="77" spans="1:12" x14ac:dyDescent="0.35">
      <c r="A77" s="354"/>
      <c r="B77" s="275" t="str">
        <f>'1 &amp; 3 GST'!B93</f>
        <v xml:space="preserve">PB </v>
      </c>
      <c r="C77" s="275" t="str">
        <f>'1 &amp; 3 GST'!C93</f>
        <v>PCL LKR</v>
      </c>
      <c r="D77" s="275" t="str">
        <f>'1 &amp; 3 GST'!D93</f>
        <v>90 D</v>
      </c>
      <c r="E77" s="419"/>
      <c r="F77" s="23"/>
      <c r="G77" s="23"/>
      <c r="H77" s="23"/>
      <c r="I77" s="416"/>
      <c r="J77" s="416"/>
      <c r="K77" s="418"/>
      <c r="L77" s="420"/>
    </row>
    <row r="78" spans="1:12" x14ac:dyDescent="0.35">
      <c r="A78" s="354"/>
      <c r="B78" s="275" t="str">
        <f>'1 &amp; 3 GST'!B94</f>
        <v xml:space="preserve">PB </v>
      </c>
      <c r="C78" s="275" t="str">
        <f>'1 &amp; 3 GST'!C94</f>
        <v>PCL LKR</v>
      </c>
      <c r="D78" s="275" t="str">
        <f>'1 &amp; 3 GST'!D94</f>
        <v>90 D</v>
      </c>
      <c r="E78" s="419"/>
      <c r="F78" s="23"/>
      <c r="G78" s="23"/>
      <c r="H78" s="23"/>
      <c r="I78" s="416"/>
      <c r="J78" s="416"/>
      <c r="K78" s="418"/>
      <c r="L78" s="420"/>
    </row>
    <row r="79" spans="1:12" x14ac:dyDescent="0.35">
      <c r="A79" s="354"/>
      <c r="B79" s="275" t="str">
        <f>'1 &amp; 3 GST'!B95</f>
        <v xml:space="preserve">PB </v>
      </c>
      <c r="C79" s="275" t="str">
        <f>'1 &amp; 3 GST'!C95</f>
        <v>PCL LKR</v>
      </c>
      <c r="D79" s="275" t="str">
        <f>'1 &amp; 3 GST'!D95</f>
        <v>90 D</v>
      </c>
      <c r="E79" s="419"/>
      <c r="F79" s="23"/>
      <c r="G79" s="23"/>
      <c r="H79" s="23"/>
      <c r="I79" s="416"/>
      <c r="J79" s="416"/>
      <c r="K79" s="418"/>
      <c r="L79" s="420"/>
    </row>
    <row r="80" spans="1:12" x14ac:dyDescent="0.35">
      <c r="A80" s="354"/>
      <c r="B80" s="275" t="str">
        <f>'1 &amp; 3 GST'!B96</f>
        <v xml:space="preserve">PB </v>
      </c>
      <c r="C80" s="275" t="str">
        <f>'1 &amp; 3 GST'!C96</f>
        <v>PCL LKR</v>
      </c>
      <c r="D80" s="275" t="str">
        <f>'1 &amp; 3 GST'!D96</f>
        <v>90 D</v>
      </c>
      <c r="E80" s="419"/>
      <c r="F80" s="23"/>
      <c r="G80" s="23"/>
      <c r="H80" s="23"/>
      <c r="I80" s="416"/>
      <c r="J80" s="416"/>
      <c r="K80" s="418"/>
      <c r="L80" s="420"/>
    </row>
    <row r="81" spans="1:12" x14ac:dyDescent="0.35">
      <c r="A81" s="354"/>
      <c r="B81" s="275" t="str">
        <f>'1 &amp; 3 GST'!B97</f>
        <v xml:space="preserve">PB </v>
      </c>
      <c r="C81" s="275" t="str">
        <f>'1 &amp; 3 GST'!C97</f>
        <v>PCL LKR</v>
      </c>
      <c r="D81" s="275" t="str">
        <f>'1 &amp; 3 GST'!D97</f>
        <v>90 D</v>
      </c>
      <c r="E81" s="419"/>
      <c r="F81" s="23"/>
      <c r="G81" s="23"/>
      <c r="H81" s="23"/>
      <c r="I81" s="416"/>
      <c r="J81" s="416"/>
      <c r="K81" s="418"/>
      <c r="L81" s="420"/>
    </row>
    <row r="82" spans="1:12" x14ac:dyDescent="0.35">
      <c r="A82" s="354"/>
      <c r="B82" s="275" t="str">
        <f>'1 &amp; 3 GST'!B98</f>
        <v xml:space="preserve">PB </v>
      </c>
      <c r="C82" s="275" t="str">
        <f>'1 &amp; 3 GST'!C98</f>
        <v>PCL LKR</v>
      </c>
      <c r="D82" s="275" t="str">
        <f>'1 &amp; 3 GST'!D98</f>
        <v>90 D</v>
      </c>
      <c r="E82" s="419"/>
      <c r="F82" s="23"/>
      <c r="G82" s="23"/>
      <c r="H82" s="23"/>
      <c r="I82" s="416"/>
      <c r="J82" s="416"/>
      <c r="K82" s="418"/>
      <c r="L82" s="420"/>
    </row>
    <row r="83" spans="1:12" x14ac:dyDescent="0.35">
      <c r="A83" s="354"/>
      <c r="B83" s="275" t="str">
        <f>'1 &amp; 3 GST'!B99</f>
        <v xml:space="preserve">PB </v>
      </c>
      <c r="C83" s="275" t="str">
        <f>'1 &amp; 3 GST'!C99</f>
        <v>PCL LKR</v>
      </c>
      <c r="D83" s="275" t="str">
        <f>'1 &amp; 3 GST'!D99</f>
        <v>90 D</v>
      </c>
      <c r="E83" s="419"/>
      <c r="F83" s="23"/>
      <c r="G83" s="23"/>
      <c r="H83" s="23"/>
      <c r="I83" s="416"/>
      <c r="J83" s="416"/>
      <c r="K83" s="418"/>
      <c r="L83" s="420"/>
    </row>
    <row r="84" spans="1:12" x14ac:dyDescent="0.35">
      <c r="A84" s="354"/>
      <c r="B84" s="275" t="str">
        <f>'1 &amp; 3 GST'!B100</f>
        <v xml:space="preserve">SEYLAN </v>
      </c>
      <c r="C84" s="275" t="str">
        <f>'1 &amp; 3 GST'!C100</f>
        <v>PCL LKR</v>
      </c>
      <c r="D84" s="275" t="str">
        <f>'1 &amp; 3 GST'!D100</f>
        <v>90 D</v>
      </c>
      <c r="E84" s="419"/>
      <c r="F84" s="23"/>
      <c r="G84" s="23"/>
      <c r="H84" s="23"/>
      <c r="I84" s="416"/>
      <c r="J84" s="416"/>
      <c r="K84" s="418"/>
      <c r="L84" s="420"/>
    </row>
    <row r="85" spans="1:12" x14ac:dyDescent="0.35">
      <c r="A85" s="354"/>
      <c r="B85" s="275" t="str">
        <f>'1 &amp; 3 GST'!B101</f>
        <v xml:space="preserve">SEYLAN </v>
      </c>
      <c r="C85" s="275" t="str">
        <f>'1 &amp; 3 GST'!C101</f>
        <v>PCL LKR</v>
      </c>
      <c r="D85" s="275" t="str">
        <f>'1 &amp; 3 GST'!D101</f>
        <v>90 D</v>
      </c>
      <c r="E85" s="419"/>
      <c r="F85" s="23"/>
      <c r="G85" s="23"/>
      <c r="H85" s="23"/>
      <c r="I85" s="416"/>
      <c r="J85" s="416"/>
      <c r="K85" s="418"/>
      <c r="L85" s="420"/>
    </row>
    <row r="86" spans="1:12" x14ac:dyDescent="0.35">
      <c r="A86" s="355"/>
      <c r="B86" s="275" t="str">
        <f>'1 &amp; 3 GST'!B102</f>
        <v xml:space="preserve">SEYLAN </v>
      </c>
      <c r="C86" s="275" t="str">
        <f>'1 &amp; 3 GST'!C102</f>
        <v>PCL LKR</v>
      </c>
      <c r="D86" s="275" t="str">
        <f>'1 &amp; 3 GST'!D102</f>
        <v>90 D</v>
      </c>
      <c r="E86" s="419"/>
      <c r="F86" s="23"/>
      <c r="G86" s="23"/>
      <c r="H86" s="23"/>
      <c r="I86" s="416"/>
      <c r="J86" s="416"/>
      <c r="K86" s="418"/>
      <c r="L86" s="420"/>
    </row>
    <row r="87" spans="1:12" x14ac:dyDescent="0.35">
      <c r="A87" s="348" t="s">
        <v>286</v>
      </c>
      <c r="B87" s="276" t="str">
        <f>'1 &amp; 3 GS Ticketing'!B38</f>
        <v>NDB</v>
      </c>
      <c r="C87" s="277" t="str">
        <f>'1 &amp; 3 GS Ticketing'!C38</f>
        <v>Short Term Loan</v>
      </c>
      <c r="D87" s="277" t="str">
        <f>'1 &amp; 3 GS Ticketing'!D38</f>
        <v>45Days</v>
      </c>
      <c r="E87" s="419"/>
      <c r="F87" s="23"/>
      <c r="G87" s="23"/>
      <c r="H87" s="23"/>
      <c r="I87" s="416"/>
      <c r="J87" s="416"/>
      <c r="K87" s="421"/>
      <c r="L87" s="419"/>
    </row>
    <row r="88" spans="1:12" x14ac:dyDescent="0.35">
      <c r="A88" s="349"/>
      <c r="B88" s="276" t="str">
        <f>'1 &amp; 3 GS Ticketing'!B39</f>
        <v>NDB</v>
      </c>
      <c r="C88" s="277" t="str">
        <f>'1 &amp; 3 GS Ticketing'!C39</f>
        <v>Overdraft</v>
      </c>
      <c r="D88" s="277" t="str">
        <f>'1 &amp; 3 GS Ticketing'!D39</f>
        <v>On Demand</v>
      </c>
      <c r="E88" s="419"/>
      <c r="F88" s="23"/>
      <c r="G88" s="23"/>
      <c r="H88" s="23"/>
      <c r="I88" s="416"/>
      <c r="J88" s="416"/>
      <c r="K88" s="421"/>
      <c r="L88" s="419"/>
    </row>
    <row r="89" spans="1:12" x14ac:dyDescent="0.35">
      <c r="A89" s="349"/>
      <c r="B89" s="276" t="str">
        <f>'1 &amp; 3 GS Ticketing'!B40</f>
        <v>Sampath</v>
      </c>
      <c r="C89" s="277" t="str">
        <f>'1 &amp; 3 GS Ticketing'!C40</f>
        <v>Corporate Credit Card</v>
      </c>
      <c r="D89" s="277" t="str">
        <f>'1 &amp; 3 GS Ticketing'!D40</f>
        <v>25Days</v>
      </c>
      <c r="E89" s="419"/>
      <c r="F89" s="23"/>
      <c r="G89" s="23"/>
      <c r="H89" s="23"/>
      <c r="I89" s="416"/>
      <c r="J89" s="416"/>
      <c r="K89" s="422"/>
      <c r="L89" s="419"/>
    </row>
    <row r="90" spans="1:12" x14ac:dyDescent="0.35">
      <c r="A90" s="350"/>
      <c r="B90" s="276" t="str">
        <f>'1 &amp; 3 GS Ticketing'!B41</f>
        <v>Cargills</v>
      </c>
      <c r="C90" s="277" t="str">
        <f>'1 &amp; 3 GS Ticketing'!C41</f>
        <v>Corporate Credit Card</v>
      </c>
      <c r="D90" s="277" t="str">
        <f>'1 &amp; 3 GS Ticketing'!D41</f>
        <v>25Days</v>
      </c>
      <c r="E90" s="419"/>
      <c r="F90" s="23"/>
      <c r="G90" s="23"/>
      <c r="H90" s="23"/>
      <c r="I90" s="416"/>
      <c r="J90" s="416"/>
      <c r="K90" s="422"/>
      <c r="L90" s="419"/>
    </row>
    <row r="91" spans="1:12" x14ac:dyDescent="0.35">
      <c r="A91" s="362" t="s">
        <v>401</v>
      </c>
      <c r="B91" s="334" t="str">
        <f>'2. GSS'!B14</f>
        <v>NTB</v>
      </c>
      <c r="C91" s="334" t="str">
        <f>'2. GSS'!C14</f>
        <v>IML</v>
      </c>
      <c r="D91" s="334">
        <f>'2. GSS'!D14</f>
        <v>150</v>
      </c>
      <c r="E91" s="423"/>
      <c r="F91" s="23"/>
      <c r="G91" s="23"/>
      <c r="H91" s="23"/>
      <c r="I91" s="416"/>
      <c r="J91" s="416"/>
      <c r="K91" s="422"/>
      <c r="L91" s="423"/>
    </row>
    <row r="92" spans="1:12" x14ac:dyDescent="0.35">
      <c r="A92" s="363"/>
      <c r="B92" s="334" t="str">
        <f>'2. GSS'!B15</f>
        <v>NTB</v>
      </c>
      <c r="C92" s="334" t="str">
        <f>'2. GSS'!C15</f>
        <v>IML</v>
      </c>
      <c r="D92" s="334">
        <f>'2. GSS'!D15</f>
        <v>150</v>
      </c>
      <c r="E92" s="423"/>
      <c r="F92" s="23"/>
      <c r="G92" s="23"/>
      <c r="H92" s="23"/>
      <c r="I92" s="416"/>
      <c r="J92" s="416"/>
      <c r="K92" s="422"/>
      <c r="L92" s="423"/>
    </row>
    <row r="93" spans="1:12" x14ac:dyDescent="0.35">
      <c r="A93" s="363"/>
      <c r="B93" s="334" t="str">
        <f>'2. GSS'!B16</f>
        <v>NTB</v>
      </c>
      <c r="C93" s="334" t="str">
        <f>'2. GSS'!C16</f>
        <v>IML</v>
      </c>
      <c r="D93" s="334">
        <f>'2. GSS'!D16</f>
        <v>150</v>
      </c>
      <c r="E93" s="423"/>
      <c r="F93" s="23"/>
      <c r="G93" s="23"/>
      <c r="H93" s="23"/>
      <c r="I93" s="416"/>
      <c r="J93" s="416"/>
      <c r="K93" s="422"/>
      <c r="L93" s="423"/>
    </row>
    <row r="94" spans="1:12" x14ac:dyDescent="0.35">
      <c r="A94" s="363"/>
      <c r="B94" s="334" t="str">
        <f>'2. GSS'!B17</f>
        <v>NTB</v>
      </c>
      <c r="C94" s="334" t="str">
        <f>'2. GSS'!C17</f>
        <v>IML</v>
      </c>
      <c r="D94" s="334">
        <f>'2. GSS'!D17</f>
        <v>150</v>
      </c>
      <c r="E94" s="423"/>
      <c r="F94" s="23"/>
      <c r="G94" s="23"/>
      <c r="H94" s="23"/>
      <c r="I94" s="416"/>
      <c r="J94" s="416"/>
      <c r="K94" s="422"/>
      <c r="L94" s="423"/>
    </row>
    <row r="95" spans="1:12" x14ac:dyDescent="0.35">
      <c r="A95" s="363"/>
      <c r="B95" s="334" t="str">
        <f>'2. GSS'!B18</f>
        <v>NTB</v>
      </c>
      <c r="C95" s="334" t="str">
        <f>'2. GSS'!C18</f>
        <v>IML</v>
      </c>
      <c r="D95" s="334">
        <f>'2. GSS'!D18</f>
        <v>150</v>
      </c>
      <c r="E95" s="423"/>
      <c r="F95" s="23"/>
      <c r="G95" s="23"/>
      <c r="H95" s="23"/>
      <c r="I95" s="416"/>
      <c r="J95" s="416"/>
      <c r="K95" s="422"/>
      <c r="L95" s="423"/>
    </row>
    <row r="96" spans="1:12" x14ac:dyDescent="0.35">
      <c r="A96" s="363"/>
      <c r="B96" s="334" t="str">
        <f>'2. GSS'!B19</f>
        <v>NTB</v>
      </c>
      <c r="C96" s="334" t="str">
        <f>'2. GSS'!C19</f>
        <v>IML</v>
      </c>
      <c r="D96" s="334">
        <f>'2. GSS'!D19</f>
        <v>150</v>
      </c>
      <c r="E96" s="423"/>
      <c r="F96" s="23"/>
      <c r="G96" s="23"/>
      <c r="H96" s="23"/>
      <c r="I96" s="416"/>
      <c r="J96" s="416"/>
      <c r="K96" s="422"/>
      <c r="L96" s="423"/>
    </row>
    <row r="97" spans="1:12" x14ac:dyDescent="0.35">
      <c r="A97" s="363"/>
      <c r="B97" s="334" t="str">
        <f>'2. GSS'!B20</f>
        <v>NTB</v>
      </c>
      <c r="C97" s="334" t="str">
        <f>'2. GSS'!C20</f>
        <v>IML</v>
      </c>
      <c r="D97" s="334">
        <f>'2. GSS'!D20</f>
        <v>150</v>
      </c>
      <c r="E97" s="423"/>
      <c r="F97" s="23"/>
      <c r="G97" s="23"/>
      <c r="H97" s="23"/>
      <c r="I97" s="416"/>
      <c r="J97" s="416"/>
      <c r="K97" s="422"/>
      <c r="L97" s="423"/>
    </row>
    <row r="98" spans="1:12" x14ac:dyDescent="0.35">
      <c r="A98" s="363"/>
      <c r="B98" s="334" t="str">
        <f>'2. GSS'!B21</f>
        <v>NTB</v>
      </c>
      <c r="C98" s="334" t="str">
        <f>'2. GSS'!C21</f>
        <v>IML</v>
      </c>
      <c r="D98" s="334">
        <f>'2. GSS'!D21</f>
        <v>150</v>
      </c>
      <c r="E98" s="423"/>
      <c r="F98" s="23"/>
      <c r="G98" s="23"/>
      <c r="H98" s="23"/>
      <c r="I98" s="416"/>
      <c r="J98" s="416"/>
      <c r="K98" s="422"/>
      <c r="L98" s="423"/>
    </row>
    <row r="99" spans="1:12" x14ac:dyDescent="0.35">
      <c r="A99" s="363"/>
      <c r="B99" s="334" t="str">
        <f>'2. GSS'!B22</f>
        <v>NTB</v>
      </c>
      <c r="C99" s="334" t="str">
        <f>'2. GSS'!C22</f>
        <v>IML</v>
      </c>
      <c r="D99" s="334">
        <f>'2. GSS'!D22</f>
        <v>150</v>
      </c>
      <c r="E99" s="423"/>
      <c r="F99" s="23"/>
      <c r="G99" s="23"/>
      <c r="H99" s="23"/>
      <c r="I99" s="416"/>
      <c r="J99" s="416"/>
      <c r="K99" s="422"/>
      <c r="L99" s="423"/>
    </row>
    <row r="100" spans="1:12" x14ac:dyDescent="0.35">
      <c r="A100" s="363"/>
      <c r="B100" s="334" t="str">
        <f>'2. GSS'!B24</f>
        <v>NDB</v>
      </c>
      <c r="C100" s="334" t="str">
        <f>'2. GSS'!C24</f>
        <v>IML</v>
      </c>
      <c r="D100" s="334">
        <f>'2. GSS'!D24</f>
        <v>270</v>
      </c>
      <c r="E100" s="423"/>
      <c r="F100" s="23"/>
      <c r="G100" s="23"/>
      <c r="H100" s="23"/>
      <c r="I100" s="416"/>
      <c r="J100" s="416"/>
      <c r="K100" s="422"/>
      <c r="L100" s="423"/>
    </row>
    <row r="101" spans="1:12" x14ac:dyDescent="0.35">
      <c r="A101" s="363"/>
      <c r="B101" s="334" t="str">
        <f>'2. GSS'!B25</f>
        <v>NDB</v>
      </c>
      <c r="C101" s="334" t="str">
        <f>'2. GSS'!C25</f>
        <v>IML</v>
      </c>
      <c r="D101" s="334">
        <f>'2. GSS'!D25</f>
        <v>270</v>
      </c>
      <c r="E101" s="423"/>
      <c r="F101" s="23"/>
      <c r="G101" s="23"/>
      <c r="H101" s="23"/>
      <c r="I101" s="416"/>
      <c r="J101" s="416"/>
      <c r="K101" s="422"/>
      <c r="L101" s="423"/>
    </row>
    <row r="102" spans="1:12" x14ac:dyDescent="0.35">
      <c r="A102" s="363"/>
      <c r="B102" s="334" t="str">
        <f>'2. GSS'!B26</f>
        <v>NDB</v>
      </c>
      <c r="C102" s="334" t="str">
        <f>'2. GSS'!C26</f>
        <v>IML</v>
      </c>
      <c r="D102" s="334">
        <f>'2. GSS'!D26</f>
        <v>270</v>
      </c>
      <c r="E102" s="423"/>
      <c r="F102" s="23"/>
      <c r="G102" s="23"/>
      <c r="H102" s="23"/>
      <c r="I102" s="416"/>
      <c r="J102" s="416"/>
      <c r="K102" s="422"/>
      <c r="L102" s="423"/>
    </row>
    <row r="103" spans="1:12" x14ac:dyDescent="0.35">
      <c r="A103" s="363"/>
      <c r="B103" s="334" t="str">
        <f>'2. GSS'!B27</f>
        <v>NDB</v>
      </c>
      <c r="C103" s="334" t="str">
        <f>'2. GSS'!C27</f>
        <v>IML</v>
      </c>
      <c r="D103" s="334">
        <f>'2. GSS'!D27</f>
        <v>270</v>
      </c>
      <c r="E103" s="423"/>
      <c r="F103" s="23"/>
      <c r="G103" s="23"/>
      <c r="H103" s="23"/>
      <c r="I103" s="416"/>
      <c r="J103" s="416"/>
      <c r="K103" s="422"/>
      <c r="L103" s="423"/>
    </row>
    <row r="104" spans="1:12" x14ac:dyDescent="0.35">
      <c r="A104" s="363"/>
      <c r="B104" s="334" t="str">
        <f>'2. GSS'!B28</f>
        <v>NDB</v>
      </c>
      <c r="C104" s="334" t="str">
        <f>'2. GSS'!C28</f>
        <v>IML</v>
      </c>
      <c r="D104" s="334">
        <f>'2. GSS'!D28</f>
        <v>270</v>
      </c>
      <c r="E104" s="423"/>
      <c r="F104" s="23"/>
      <c r="G104" s="23"/>
      <c r="H104" s="23"/>
      <c r="I104" s="416"/>
      <c r="J104" s="416"/>
      <c r="K104" s="422"/>
      <c r="L104" s="423"/>
    </row>
    <row r="105" spans="1:12" x14ac:dyDescent="0.35">
      <c r="A105" s="363"/>
      <c r="B105" s="334" t="str">
        <f>'2. GSS'!B29</f>
        <v>NDB</v>
      </c>
      <c r="C105" s="334" t="str">
        <f>'2. GSS'!C29</f>
        <v>IML</v>
      </c>
      <c r="D105" s="334">
        <f>'2. GSS'!D29</f>
        <v>270</v>
      </c>
      <c r="E105" s="423"/>
      <c r="F105" s="23"/>
      <c r="G105" s="23"/>
      <c r="H105" s="23"/>
      <c r="I105" s="416"/>
      <c r="J105" s="416"/>
      <c r="K105" s="422"/>
      <c r="L105" s="423"/>
    </row>
    <row r="106" spans="1:12" x14ac:dyDescent="0.35">
      <c r="A106" s="363"/>
      <c r="B106" s="334" t="str">
        <f>'2. GSS'!B30</f>
        <v>NDB</v>
      </c>
      <c r="C106" s="334" t="str">
        <f>'2. GSS'!C30</f>
        <v>IML</v>
      </c>
      <c r="D106" s="334">
        <f>'2. GSS'!D30</f>
        <v>270</v>
      </c>
      <c r="E106" s="423"/>
      <c r="F106" s="23"/>
      <c r="G106" s="23"/>
      <c r="H106" s="23"/>
      <c r="I106" s="416"/>
      <c r="J106" s="416"/>
      <c r="K106" s="422"/>
      <c r="L106" s="423"/>
    </row>
    <row r="107" spans="1:12" x14ac:dyDescent="0.35">
      <c r="A107" s="363"/>
      <c r="B107" s="334" t="str">
        <f>'2. GSS'!B31</f>
        <v>NDB</v>
      </c>
      <c r="C107" s="334" t="str">
        <f>'2. GSS'!C31</f>
        <v>IML</v>
      </c>
      <c r="D107" s="334">
        <f>'2. GSS'!D31</f>
        <v>270</v>
      </c>
      <c r="E107" s="423"/>
      <c r="F107" s="23"/>
      <c r="G107" s="23"/>
      <c r="H107" s="23"/>
      <c r="I107" s="416"/>
      <c r="J107" s="416"/>
      <c r="K107" s="422"/>
      <c r="L107" s="423"/>
    </row>
    <row r="108" spans="1:12" x14ac:dyDescent="0.35">
      <c r="A108" s="363"/>
      <c r="B108" s="334" t="str">
        <f>'2. GSS'!B32</f>
        <v>NDB</v>
      </c>
      <c r="C108" s="334" t="str">
        <f>'2. GSS'!C32</f>
        <v>IML</v>
      </c>
      <c r="D108" s="334">
        <f>'2. GSS'!D32</f>
        <v>270</v>
      </c>
      <c r="E108" s="423"/>
      <c r="F108" s="23"/>
      <c r="G108" s="23"/>
      <c r="H108" s="23"/>
      <c r="I108" s="416"/>
      <c r="J108" s="416"/>
      <c r="K108" s="422"/>
      <c r="L108" s="423"/>
    </row>
    <row r="109" spans="1:12" x14ac:dyDescent="0.35">
      <c r="A109" s="363"/>
      <c r="B109" s="334" t="str">
        <f>'2. GSS'!B33</f>
        <v>NDB</v>
      </c>
      <c r="C109" s="334" t="str">
        <f>'2. GSS'!C33</f>
        <v>IML</v>
      </c>
      <c r="D109" s="334">
        <f>'2. GSS'!D33</f>
        <v>270</v>
      </c>
      <c r="E109" s="423"/>
      <c r="F109" s="23"/>
      <c r="G109" s="23"/>
      <c r="H109" s="23"/>
      <c r="I109" s="416"/>
      <c r="J109" s="416"/>
      <c r="K109" s="422"/>
      <c r="L109" s="423"/>
    </row>
    <row r="110" spans="1:12" x14ac:dyDescent="0.35">
      <c r="A110" s="363"/>
      <c r="B110" s="334" t="str">
        <f>'2. GSS'!B34</f>
        <v>NDB</v>
      </c>
      <c r="C110" s="334" t="str">
        <f>'2. GSS'!C34</f>
        <v>IML</v>
      </c>
      <c r="D110" s="334">
        <f>'2. GSS'!D34</f>
        <v>270</v>
      </c>
      <c r="E110" s="423"/>
      <c r="F110" s="23"/>
      <c r="G110" s="23"/>
      <c r="H110" s="23"/>
      <c r="I110" s="416"/>
      <c r="J110" s="416"/>
      <c r="K110" s="422"/>
      <c r="L110" s="423"/>
    </row>
    <row r="111" spans="1:12" x14ac:dyDescent="0.35">
      <c r="A111" s="363"/>
      <c r="B111" s="334" t="str">
        <f>'2. GSS'!B35</f>
        <v>NDB</v>
      </c>
      <c r="C111" s="334" t="str">
        <f>'2. GSS'!C35</f>
        <v>IML</v>
      </c>
      <c r="D111" s="334">
        <f>'2. GSS'!D35</f>
        <v>270</v>
      </c>
      <c r="E111" s="423"/>
      <c r="F111" s="23"/>
      <c r="G111" s="23"/>
      <c r="H111" s="23"/>
      <c r="I111" s="416"/>
      <c r="J111" s="416"/>
      <c r="K111" s="422"/>
      <c r="L111" s="423"/>
    </row>
    <row r="112" spans="1:12" x14ac:dyDescent="0.35">
      <c r="A112" s="363"/>
      <c r="B112" s="334" t="str">
        <f>'2. GSS'!B36</f>
        <v>NDB</v>
      </c>
      <c r="C112" s="334" t="str">
        <f>'2. GSS'!C36</f>
        <v>IML</v>
      </c>
      <c r="D112" s="334">
        <f>'2. GSS'!D36</f>
        <v>270</v>
      </c>
      <c r="E112" s="423"/>
      <c r="F112" s="23"/>
      <c r="G112" s="23"/>
      <c r="H112" s="23"/>
      <c r="I112" s="416"/>
      <c r="J112" s="416"/>
      <c r="K112" s="422"/>
      <c r="L112" s="423"/>
    </row>
    <row r="113" spans="1:12" x14ac:dyDescent="0.35">
      <c r="A113" s="363"/>
      <c r="B113" s="334" t="str">
        <f>'2. GSS'!B37</f>
        <v>NDB</v>
      </c>
      <c r="C113" s="334" t="str">
        <f>'2. GSS'!C37</f>
        <v>IML</v>
      </c>
      <c r="D113" s="334">
        <f>'2. GSS'!D37</f>
        <v>270</v>
      </c>
      <c r="E113" s="423"/>
      <c r="F113" s="23"/>
      <c r="G113" s="23"/>
      <c r="H113" s="23"/>
      <c r="I113" s="416"/>
      <c r="J113" s="416"/>
      <c r="K113" s="422"/>
      <c r="L113" s="423"/>
    </row>
    <row r="114" spans="1:12" x14ac:dyDescent="0.35">
      <c r="A114" s="363"/>
      <c r="B114" s="334" t="str">
        <f>'2. GSS'!B38</f>
        <v>NDB</v>
      </c>
      <c r="C114" s="334" t="str">
        <f>'2. GSS'!C38</f>
        <v>IML</v>
      </c>
      <c r="D114" s="334">
        <f>'2. GSS'!D38</f>
        <v>270</v>
      </c>
      <c r="E114" s="423"/>
      <c r="F114" s="23"/>
      <c r="G114" s="23"/>
      <c r="H114" s="23"/>
      <c r="I114" s="416"/>
      <c r="J114" s="416"/>
      <c r="K114" s="422"/>
      <c r="L114" s="423"/>
    </row>
    <row r="115" spans="1:12" x14ac:dyDescent="0.35">
      <c r="A115" s="363"/>
      <c r="B115" s="334" t="str">
        <f>'2. GSS'!B39</f>
        <v>NDB</v>
      </c>
      <c r="C115" s="334" t="str">
        <f>'2. GSS'!C39</f>
        <v>IML</v>
      </c>
      <c r="D115" s="334">
        <f>'2. GSS'!D39</f>
        <v>270</v>
      </c>
      <c r="E115" s="423"/>
      <c r="F115" s="23"/>
      <c r="G115" s="23"/>
      <c r="H115" s="23"/>
      <c r="I115" s="416"/>
      <c r="J115" s="416"/>
      <c r="K115" s="422"/>
      <c r="L115" s="423"/>
    </row>
    <row r="116" spans="1:12" x14ac:dyDescent="0.35">
      <c r="A116" s="363"/>
      <c r="B116" s="334" t="str">
        <f>'2. GSS'!B40</f>
        <v>NDB</v>
      </c>
      <c r="C116" s="334" t="str">
        <f>'2. GSS'!C40</f>
        <v>IML</v>
      </c>
      <c r="D116" s="334">
        <f>'2. GSS'!D40</f>
        <v>270</v>
      </c>
      <c r="E116" s="423"/>
      <c r="F116" s="23"/>
      <c r="G116" s="23"/>
      <c r="H116" s="23"/>
      <c r="I116" s="416"/>
      <c r="J116" s="416"/>
      <c r="K116" s="422"/>
      <c r="L116" s="423"/>
    </row>
    <row r="117" spans="1:12" x14ac:dyDescent="0.35">
      <c r="A117" s="363"/>
      <c r="B117" s="334" t="str">
        <f>'2. GSS'!B41</f>
        <v>NDB</v>
      </c>
      <c r="C117" s="334" t="str">
        <f>'2. GSS'!C41</f>
        <v>IML</v>
      </c>
      <c r="D117" s="334">
        <f>'2. GSS'!D41</f>
        <v>270</v>
      </c>
      <c r="E117" s="423"/>
      <c r="F117" s="23"/>
      <c r="G117" s="23"/>
      <c r="H117" s="23"/>
      <c r="I117" s="416"/>
      <c r="J117" s="416"/>
      <c r="K117" s="422"/>
      <c r="L117" s="423"/>
    </row>
    <row r="118" spans="1:12" x14ac:dyDescent="0.35">
      <c r="A118" s="363"/>
      <c r="B118" s="334" t="str">
        <f>'2. GSS'!B42</f>
        <v>NDB</v>
      </c>
      <c r="C118" s="334" t="str">
        <f>'2. GSS'!C42</f>
        <v>IML</v>
      </c>
      <c r="D118" s="334">
        <f>'2. GSS'!D42</f>
        <v>270</v>
      </c>
      <c r="E118" s="423"/>
      <c r="F118" s="23"/>
      <c r="G118" s="23"/>
      <c r="H118" s="23"/>
      <c r="I118" s="416"/>
      <c r="J118" s="416"/>
      <c r="K118" s="422"/>
      <c r="L118" s="423"/>
    </row>
    <row r="119" spans="1:12" x14ac:dyDescent="0.35">
      <c r="A119" s="363"/>
      <c r="B119" s="334" t="str">
        <f>'2. GSS'!B43</f>
        <v>NDB</v>
      </c>
      <c r="C119" s="334" t="str">
        <f>'2. GSS'!C43</f>
        <v>IML</v>
      </c>
      <c r="D119" s="334">
        <f>'2. GSS'!D43</f>
        <v>270</v>
      </c>
      <c r="E119" s="423"/>
      <c r="F119" s="23"/>
      <c r="G119" s="23"/>
      <c r="H119" s="23"/>
      <c r="I119" s="416"/>
      <c r="J119" s="416"/>
      <c r="K119" s="422"/>
      <c r="L119" s="423"/>
    </row>
    <row r="120" spans="1:12" x14ac:dyDescent="0.35">
      <c r="A120" s="363"/>
      <c r="B120" s="334" t="str">
        <f>'2. GSS'!B44</f>
        <v>NDB</v>
      </c>
      <c r="C120" s="334" t="str">
        <f>'2. GSS'!C44</f>
        <v>IML</v>
      </c>
      <c r="D120" s="334">
        <f>'2. GSS'!D44</f>
        <v>270</v>
      </c>
      <c r="E120" s="423"/>
      <c r="F120" s="23"/>
      <c r="G120" s="23"/>
      <c r="H120" s="23"/>
      <c r="I120" s="416"/>
      <c r="J120" s="416"/>
      <c r="K120" s="422"/>
      <c r="L120" s="423"/>
    </row>
    <row r="121" spans="1:12" x14ac:dyDescent="0.35">
      <c r="A121" s="363"/>
      <c r="B121" s="334" t="str">
        <f>'2. GSS'!B45</f>
        <v>NDB</v>
      </c>
      <c r="C121" s="334" t="str">
        <f>'2. GSS'!C45</f>
        <v>IML</v>
      </c>
      <c r="D121" s="334">
        <f>'2. GSS'!D45</f>
        <v>270</v>
      </c>
      <c r="E121" s="423"/>
      <c r="F121" s="23"/>
      <c r="G121" s="23"/>
      <c r="H121" s="23"/>
      <c r="I121" s="416"/>
      <c r="J121" s="416"/>
      <c r="K121" s="422"/>
      <c r="L121" s="423"/>
    </row>
    <row r="122" spans="1:12" x14ac:dyDescent="0.35">
      <c r="A122" s="363"/>
      <c r="B122" s="334" t="str">
        <f>'2. GSS'!B47</f>
        <v>NDB</v>
      </c>
      <c r="C122" s="334" t="str">
        <f>'2. GSS'!C47</f>
        <v>STL</v>
      </c>
      <c r="D122" s="334">
        <f>'2. GSS'!D47</f>
        <v>270</v>
      </c>
      <c r="E122" s="423"/>
      <c r="F122" s="23"/>
      <c r="G122" s="23"/>
      <c r="H122" s="23"/>
      <c r="I122" s="416"/>
      <c r="J122" s="416"/>
      <c r="K122" s="422"/>
      <c r="L122" s="423"/>
    </row>
    <row r="123" spans="1:12" x14ac:dyDescent="0.35">
      <c r="A123" s="363"/>
      <c r="B123" s="334" t="str">
        <f>'2. GSS'!B48</f>
        <v>NDB</v>
      </c>
      <c r="C123" s="334" t="str">
        <f>'2. GSS'!C48</f>
        <v>STL</v>
      </c>
      <c r="D123" s="334">
        <f>'2. GSS'!D48</f>
        <v>270</v>
      </c>
      <c r="E123" s="423"/>
      <c r="F123" s="23"/>
      <c r="G123" s="23"/>
      <c r="H123" s="23"/>
      <c r="I123" s="416"/>
      <c r="J123" s="416"/>
      <c r="K123" s="422"/>
      <c r="L123" s="423"/>
    </row>
    <row r="124" spans="1:12" x14ac:dyDescent="0.35">
      <c r="A124" s="363"/>
      <c r="B124" s="334" t="str">
        <f>'2. GSS'!B49</f>
        <v>NDB</v>
      </c>
      <c r="C124" s="334" t="str">
        <f>'2. GSS'!C49</f>
        <v>STL</v>
      </c>
      <c r="D124" s="334">
        <f>'2. GSS'!D49</f>
        <v>270</v>
      </c>
      <c r="E124" s="423"/>
      <c r="F124" s="23"/>
      <c r="G124" s="23"/>
      <c r="H124" s="23"/>
      <c r="I124" s="416"/>
      <c r="J124" s="416"/>
      <c r="K124" s="422"/>
      <c r="L124" s="423"/>
    </row>
    <row r="125" spans="1:12" x14ac:dyDescent="0.35">
      <c r="A125" s="363"/>
      <c r="B125" s="334" t="str">
        <f>'2. GSS'!B50</f>
        <v>NDB</v>
      </c>
      <c r="C125" s="334" t="str">
        <f>'2. GSS'!C50</f>
        <v>STL</v>
      </c>
      <c r="D125" s="334">
        <f>'2. GSS'!D50</f>
        <v>270</v>
      </c>
      <c r="E125" s="423"/>
      <c r="F125" s="23"/>
      <c r="G125" s="23"/>
      <c r="H125" s="23"/>
      <c r="I125" s="416"/>
      <c r="J125" s="416"/>
      <c r="K125" s="422"/>
      <c r="L125" s="423"/>
    </row>
    <row r="126" spans="1:12" x14ac:dyDescent="0.35">
      <c r="A126" s="363"/>
      <c r="B126" s="334" t="str">
        <f>'2. GSS'!B51</f>
        <v>NDB</v>
      </c>
      <c r="C126" s="334" t="str">
        <f>'2. GSS'!C51</f>
        <v>STL</v>
      </c>
      <c r="D126" s="334">
        <f>'2. GSS'!D51</f>
        <v>270</v>
      </c>
      <c r="E126" s="423"/>
      <c r="F126" s="23"/>
      <c r="G126" s="23"/>
      <c r="H126" s="23"/>
      <c r="I126" s="416"/>
      <c r="J126" s="416"/>
      <c r="K126" s="422"/>
      <c r="L126" s="423"/>
    </row>
    <row r="127" spans="1:12" x14ac:dyDescent="0.35">
      <c r="A127" s="363"/>
      <c r="B127" s="334" t="str">
        <f>'2. GSS'!B52</f>
        <v>NDB</v>
      </c>
      <c r="C127" s="334" t="str">
        <f>'2. GSS'!C52</f>
        <v>STL</v>
      </c>
      <c r="D127" s="334">
        <f>'2. GSS'!D52</f>
        <v>270</v>
      </c>
      <c r="E127" s="423"/>
      <c r="F127" s="23"/>
      <c r="G127" s="23"/>
      <c r="H127" s="23"/>
      <c r="I127" s="416"/>
      <c r="J127" s="416"/>
      <c r="K127" s="422"/>
      <c r="L127" s="423"/>
    </row>
    <row r="128" spans="1:12" x14ac:dyDescent="0.35">
      <c r="A128" s="363"/>
      <c r="B128" s="334" t="str">
        <f>'2. GSS'!B53</f>
        <v>NDB</v>
      </c>
      <c r="C128" s="334" t="str">
        <f>'2. GSS'!C53</f>
        <v>STL</v>
      </c>
      <c r="D128" s="334">
        <f>'2. GSS'!D53</f>
        <v>270</v>
      </c>
      <c r="E128" s="423"/>
      <c r="F128" s="23"/>
      <c r="G128" s="23"/>
      <c r="H128" s="23"/>
      <c r="I128" s="416"/>
      <c r="J128" s="416"/>
      <c r="K128" s="422"/>
      <c r="L128" s="423"/>
    </row>
    <row r="129" spans="1:12" x14ac:dyDescent="0.35">
      <c r="A129" s="363"/>
      <c r="B129" s="334" t="str">
        <f>'2. GSS'!B54</f>
        <v>NDB</v>
      </c>
      <c r="C129" s="334" t="str">
        <f>'2. GSS'!C54</f>
        <v>STL</v>
      </c>
      <c r="D129" s="334">
        <f>'2. GSS'!D54</f>
        <v>270</v>
      </c>
      <c r="E129" s="423"/>
      <c r="F129" s="23"/>
      <c r="G129" s="23"/>
      <c r="H129" s="23"/>
      <c r="I129" s="416"/>
      <c r="J129" s="416"/>
      <c r="K129" s="422"/>
      <c r="L129" s="423"/>
    </row>
    <row r="130" spans="1:12" x14ac:dyDescent="0.35">
      <c r="A130" s="363"/>
      <c r="B130" s="334" t="str">
        <f>'2. GSS'!B55</f>
        <v>NDB</v>
      </c>
      <c r="C130" s="334" t="str">
        <f>'2. GSS'!C55</f>
        <v>STL</v>
      </c>
      <c r="D130" s="334">
        <f>'2. GSS'!D55</f>
        <v>270</v>
      </c>
      <c r="E130" s="423"/>
      <c r="F130" s="23"/>
      <c r="G130" s="23"/>
      <c r="H130" s="23"/>
      <c r="I130" s="416"/>
      <c r="J130" s="416"/>
      <c r="K130" s="422"/>
      <c r="L130" s="423"/>
    </row>
    <row r="131" spans="1:12" x14ac:dyDescent="0.35">
      <c r="A131" s="363"/>
      <c r="B131" s="334" t="str">
        <f>'2. GSS'!B56</f>
        <v>NDB</v>
      </c>
      <c r="C131" s="334" t="str">
        <f>'2. GSS'!C56</f>
        <v>STL</v>
      </c>
      <c r="D131" s="334">
        <f>'2. GSS'!D56</f>
        <v>270</v>
      </c>
      <c r="E131" s="423"/>
      <c r="F131" s="23"/>
      <c r="G131" s="23"/>
      <c r="H131" s="23"/>
      <c r="I131" s="416"/>
      <c r="J131" s="416"/>
      <c r="K131" s="422"/>
      <c r="L131" s="423"/>
    </row>
    <row r="132" spans="1:12" x14ac:dyDescent="0.35">
      <c r="A132" s="363"/>
      <c r="B132" s="334" t="str">
        <f>'2. GSS'!B57</f>
        <v>NDB</v>
      </c>
      <c r="C132" s="334" t="str">
        <f>'2. GSS'!C57</f>
        <v>STL</v>
      </c>
      <c r="D132" s="334">
        <f>'2. GSS'!D57</f>
        <v>270</v>
      </c>
      <c r="E132" s="423"/>
      <c r="F132" s="23"/>
      <c r="G132" s="23"/>
      <c r="H132" s="23"/>
      <c r="I132" s="416"/>
      <c r="J132" s="416"/>
      <c r="K132" s="422"/>
      <c r="L132" s="423"/>
    </row>
    <row r="133" spans="1:12" x14ac:dyDescent="0.35">
      <c r="A133" s="363"/>
      <c r="B133" s="334" t="str">
        <f>'2. GSS'!B58</f>
        <v>NDB</v>
      </c>
      <c r="C133" s="334" t="str">
        <f>'2. GSS'!C58</f>
        <v>STL</v>
      </c>
      <c r="D133" s="334">
        <f>'2. GSS'!D58</f>
        <v>270</v>
      </c>
      <c r="E133" s="423"/>
      <c r="F133" s="23"/>
      <c r="G133" s="23"/>
      <c r="H133" s="23"/>
      <c r="I133" s="416"/>
      <c r="J133" s="416"/>
      <c r="K133" s="422"/>
      <c r="L133" s="423"/>
    </row>
    <row r="134" spans="1:12" x14ac:dyDescent="0.35">
      <c r="A134" s="363"/>
      <c r="B134" s="334" t="str">
        <f>'2. GSS'!B59</f>
        <v>NDB</v>
      </c>
      <c r="C134" s="334" t="str">
        <f>'2. GSS'!C59</f>
        <v>STL</v>
      </c>
      <c r="D134" s="334">
        <f>'2. GSS'!D59</f>
        <v>270</v>
      </c>
      <c r="E134" s="423"/>
      <c r="F134" s="23"/>
      <c r="G134" s="23"/>
      <c r="H134" s="23"/>
      <c r="I134" s="416"/>
      <c r="J134" s="416"/>
      <c r="K134" s="422"/>
      <c r="L134" s="423"/>
    </row>
    <row r="135" spans="1:12" x14ac:dyDescent="0.35">
      <c r="A135" s="363"/>
      <c r="B135" s="334" t="str">
        <f>'2. GSS'!B60</f>
        <v>NDB</v>
      </c>
      <c r="C135" s="334" t="str">
        <f>'2. GSS'!C60</f>
        <v>STL</v>
      </c>
      <c r="D135" s="334">
        <f>'2. GSS'!D60</f>
        <v>270</v>
      </c>
      <c r="E135" s="423"/>
      <c r="F135" s="23"/>
      <c r="G135" s="23"/>
      <c r="H135" s="23"/>
      <c r="I135" s="416"/>
      <c r="J135" s="416"/>
      <c r="K135" s="422"/>
      <c r="L135" s="423"/>
    </row>
    <row r="136" spans="1:12" x14ac:dyDescent="0.35">
      <c r="A136" s="363"/>
      <c r="B136" s="334" t="str">
        <f>'2. GSS'!B61</f>
        <v>NDB</v>
      </c>
      <c r="C136" s="334" t="str">
        <f>'2. GSS'!C61</f>
        <v>STL</v>
      </c>
      <c r="D136" s="334">
        <f>'2. GSS'!D61</f>
        <v>270</v>
      </c>
      <c r="E136" s="423"/>
      <c r="F136" s="23"/>
      <c r="G136" s="23"/>
      <c r="H136" s="23"/>
      <c r="I136" s="416"/>
      <c r="J136" s="416"/>
      <c r="K136" s="422"/>
      <c r="L136" s="423"/>
    </row>
    <row r="137" spans="1:12" x14ac:dyDescent="0.35">
      <c r="A137" s="363"/>
      <c r="B137" s="334" t="str">
        <f>'2. GSS'!B62</f>
        <v>NDB</v>
      </c>
      <c r="C137" s="334" t="str">
        <f>'2. GSS'!C62</f>
        <v>STL</v>
      </c>
      <c r="D137" s="334">
        <f>'2. GSS'!D62</f>
        <v>270</v>
      </c>
      <c r="E137" s="423"/>
      <c r="F137" s="23"/>
      <c r="G137" s="23"/>
      <c r="H137" s="23"/>
      <c r="I137" s="416"/>
      <c r="J137" s="416"/>
      <c r="K137" s="422"/>
      <c r="L137" s="423"/>
    </row>
    <row r="138" spans="1:12" x14ac:dyDescent="0.35">
      <c r="A138" s="363"/>
      <c r="B138" s="334" t="str">
        <f>'2. GSS'!B63</f>
        <v>NDB</v>
      </c>
      <c r="C138" s="334" t="str">
        <f>'2. GSS'!C63</f>
        <v>STL</v>
      </c>
      <c r="D138" s="334">
        <f>'2. GSS'!D63</f>
        <v>270</v>
      </c>
      <c r="E138" s="423"/>
      <c r="F138" s="23"/>
      <c r="G138" s="23"/>
      <c r="H138" s="23"/>
      <c r="I138" s="416"/>
      <c r="J138" s="416"/>
      <c r="K138" s="422"/>
      <c r="L138" s="423"/>
    </row>
    <row r="139" spans="1:12" x14ac:dyDescent="0.35">
      <c r="A139" s="363"/>
      <c r="B139" s="334" t="str">
        <f>'2. GSS'!B64</f>
        <v>NDB</v>
      </c>
      <c r="C139" s="334" t="str">
        <f>'2. GSS'!C64</f>
        <v>STL</v>
      </c>
      <c r="D139" s="334">
        <f>'2. GSS'!D64</f>
        <v>270</v>
      </c>
      <c r="E139" s="423"/>
      <c r="F139" s="23"/>
      <c r="G139" s="23"/>
      <c r="H139" s="23"/>
      <c r="I139" s="416"/>
      <c r="J139" s="416"/>
      <c r="K139" s="422"/>
      <c r="L139" s="423"/>
    </row>
    <row r="140" spans="1:12" x14ac:dyDescent="0.35">
      <c r="A140" s="363"/>
      <c r="B140" s="334" t="str">
        <f>'2. GSS'!B65</f>
        <v>NDB</v>
      </c>
      <c r="C140" s="334" t="str">
        <f>'2. GSS'!C65</f>
        <v>STL</v>
      </c>
      <c r="D140" s="334">
        <f>'2. GSS'!D65</f>
        <v>270</v>
      </c>
      <c r="E140" s="423"/>
      <c r="F140" s="23"/>
      <c r="G140" s="23"/>
      <c r="H140" s="23"/>
      <c r="I140" s="416"/>
      <c r="J140" s="416"/>
      <c r="K140" s="422"/>
      <c r="L140" s="423"/>
    </row>
    <row r="141" spans="1:12" x14ac:dyDescent="0.35">
      <c r="A141" s="363"/>
      <c r="B141" s="334" t="str">
        <f>'2. GSS'!B66</f>
        <v>NDB</v>
      </c>
      <c r="C141" s="334" t="str">
        <f>'2. GSS'!C66</f>
        <v>STL</v>
      </c>
      <c r="D141" s="334">
        <f>'2. GSS'!D66</f>
        <v>270</v>
      </c>
      <c r="E141" s="423"/>
      <c r="F141" s="23"/>
      <c r="G141" s="23"/>
      <c r="H141" s="23"/>
      <c r="I141" s="416"/>
      <c r="J141" s="416"/>
      <c r="K141" s="422"/>
      <c r="L141" s="423"/>
    </row>
    <row r="142" spans="1:12" x14ac:dyDescent="0.35">
      <c r="A142" s="363"/>
      <c r="B142" s="334" t="str">
        <f>'2. GSS'!B67</f>
        <v>NDB</v>
      </c>
      <c r="C142" s="334" t="str">
        <f>'2. GSS'!C67</f>
        <v>STL</v>
      </c>
      <c r="D142" s="334">
        <f>'2. GSS'!D67</f>
        <v>270</v>
      </c>
      <c r="E142" s="423"/>
      <c r="F142" s="23"/>
      <c r="G142" s="23"/>
      <c r="H142" s="23"/>
      <c r="I142" s="416"/>
      <c r="J142" s="416"/>
      <c r="K142" s="422"/>
      <c r="L142" s="423"/>
    </row>
    <row r="143" spans="1:12" x14ac:dyDescent="0.35">
      <c r="A143" s="363"/>
      <c r="B143" s="334" t="str">
        <f>'2. GSS'!B68</f>
        <v>NDB</v>
      </c>
      <c r="C143" s="334" t="str">
        <f>'2. GSS'!C68</f>
        <v>STL</v>
      </c>
      <c r="D143" s="334">
        <f>'2. GSS'!D68</f>
        <v>270</v>
      </c>
      <c r="E143" s="423"/>
      <c r="F143" s="23"/>
      <c r="G143" s="23"/>
      <c r="H143" s="23"/>
      <c r="I143" s="416"/>
      <c r="J143" s="416"/>
      <c r="K143" s="422"/>
      <c r="L143" s="423"/>
    </row>
    <row r="144" spans="1:12" x14ac:dyDescent="0.35">
      <c r="A144" s="363"/>
      <c r="B144" s="334" t="str">
        <f>'2. GSS'!B69</f>
        <v>NDB</v>
      </c>
      <c r="C144" s="334" t="str">
        <f>'2. GSS'!C69</f>
        <v>STL</v>
      </c>
      <c r="D144" s="334">
        <f>'2. GSS'!D69</f>
        <v>270</v>
      </c>
      <c r="E144" s="423"/>
      <c r="F144" s="23"/>
      <c r="G144" s="23"/>
      <c r="H144" s="23"/>
      <c r="I144" s="416"/>
      <c r="J144" s="416"/>
      <c r="K144" s="422"/>
      <c r="L144" s="423"/>
    </row>
    <row r="145" spans="1:12" x14ac:dyDescent="0.35">
      <c r="A145" s="363"/>
      <c r="B145" s="334" t="str">
        <f>'2. GSS'!B70</f>
        <v>NDB</v>
      </c>
      <c r="C145" s="334" t="str">
        <f>'2. GSS'!C70</f>
        <v>STL</v>
      </c>
      <c r="D145" s="334">
        <f>'2. GSS'!D70</f>
        <v>270</v>
      </c>
      <c r="E145" s="423"/>
      <c r="F145" s="23"/>
      <c r="G145" s="23"/>
      <c r="H145" s="23"/>
      <c r="I145" s="416"/>
      <c r="J145" s="416"/>
      <c r="K145" s="422"/>
      <c r="L145" s="423"/>
    </row>
    <row r="146" spans="1:12" x14ac:dyDescent="0.35">
      <c r="A146" s="363"/>
      <c r="B146" s="334" t="str">
        <f>'2. GSS'!B71</f>
        <v>NDB</v>
      </c>
      <c r="C146" s="334" t="str">
        <f>'2. GSS'!C71</f>
        <v>STL</v>
      </c>
      <c r="D146" s="334">
        <f>'2. GSS'!D71</f>
        <v>270</v>
      </c>
      <c r="E146" s="423"/>
      <c r="F146" s="23"/>
      <c r="G146" s="23"/>
      <c r="H146" s="23"/>
      <c r="I146" s="416"/>
      <c r="J146" s="416"/>
      <c r="K146" s="422"/>
      <c r="L146" s="423"/>
    </row>
    <row r="147" spans="1:12" x14ac:dyDescent="0.35">
      <c r="A147" s="363"/>
      <c r="B147" s="334" t="str">
        <f>'2. GSS'!B72</f>
        <v>NDB</v>
      </c>
      <c r="C147" s="334" t="str">
        <f>'2. GSS'!C72</f>
        <v>STL</v>
      </c>
      <c r="D147" s="334">
        <f>'2. GSS'!D72</f>
        <v>270</v>
      </c>
      <c r="E147" s="423"/>
      <c r="F147" s="23"/>
      <c r="G147" s="23"/>
      <c r="H147" s="23"/>
      <c r="I147" s="416"/>
      <c r="J147" s="416"/>
      <c r="K147" s="422"/>
      <c r="L147" s="423"/>
    </row>
    <row r="148" spans="1:12" x14ac:dyDescent="0.35">
      <c r="A148" s="363"/>
      <c r="B148" s="334" t="str">
        <f>'2. GSS'!B73</f>
        <v>NDB</v>
      </c>
      <c r="C148" s="334" t="str">
        <f>'2. GSS'!C73</f>
        <v>STL</v>
      </c>
      <c r="D148" s="334">
        <f>'2. GSS'!D73</f>
        <v>270</v>
      </c>
      <c r="E148" s="423"/>
      <c r="F148" s="23"/>
      <c r="G148" s="23"/>
      <c r="H148" s="23"/>
      <c r="I148" s="416"/>
      <c r="J148" s="416"/>
      <c r="K148" s="422"/>
      <c r="L148" s="423"/>
    </row>
    <row r="149" spans="1:12" x14ac:dyDescent="0.35">
      <c r="A149" s="363"/>
      <c r="B149" s="334" t="str">
        <f>'2. GSS'!B74</f>
        <v>NDB</v>
      </c>
      <c r="C149" s="334" t="str">
        <f>'2. GSS'!C74</f>
        <v>STL</v>
      </c>
      <c r="D149" s="334">
        <f>'2. GSS'!D74</f>
        <v>270</v>
      </c>
      <c r="E149" s="423"/>
      <c r="F149" s="23"/>
      <c r="G149" s="23"/>
      <c r="H149" s="23"/>
      <c r="I149" s="416"/>
      <c r="J149" s="416"/>
      <c r="K149" s="422"/>
      <c r="L149" s="423"/>
    </row>
    <row r="150" spans="1:12" x14ac:dyDescent="0.35">
      <c r="A150" s="363"/>
      <c r="B150" s="334" t="str">
        <f>'2. GSS'!B75</f>
        <v>NDB</v>
      </c>
      <c r="C150" s="334" t="str">
        <f>'2. GSS'!C75</f>
        <v>STL</v>
      </c>
      <c r="D150" s="334">
        <f>'2. GSS'!D75</f>
        <v>270</v>
      </c>
      <c r="E150" s="423"/>
      <c r="F150" s="23"/>
      <c r="G150" s="23"/>
      <c r="H150" s="23"/>
      <c r="I150" s="416"/>
      <c r="J150" s="416"/>
      <c r="K150" s="422"/>
      <c r="L150" s="423"/>
    </row>
    <row r="151" spans="1:12" x14ac:dyDescent="0.35">
      <c r="A151" s="363"/>
      <c r="B151" s="334" t="str">
        <f>'2. GSS'!B76</f>
        <v>NDB</v>
      </c>
      <c r="C151" s="334" t="str">
        <f>'2. GSS'!C76</f>
        <v>STL</v>
      </c>
      <c r="D151" s="334">
        <f>'2. GSS'!D76</f>
        <v>270</v>
      </c>
      <c r="E151" s="423"/>
      <c r="F151" s="23"/>
      <c r="G151" s="23"/>
      <c r="H151" s="23"/>
      <c r="I151" s="416"/>
      <c r="J151" s="416"/>
      <c r="K151" s="422"/>
      <c r="L151" s="423"/>
    </row>
    <row r="152" spans="1:12" x14ac:dyDescent="0.35">
      <c r="A152" s="363"/>
      <c r="B152" s="334" t="str">
        <f>'2. GSS'!B77</f>
        <v>NDB</v>
      </c>
      <c r="C152" s="334" t="str">
        <f>'2. GSS'!C77</f>
        <v>STL</v>
      </c>
      <c r="D152" s="334">
        <f>'2. GSS'!D77</f>
        <v>270</v>
      </c>
      <c r="E152" s="423"/>
      <c r="F152" s="23"/>
      <c r="G152" s="23"/>
      <c r="H152" s="23"/>
      <c r="I152" s="416"/>
      <c r="J152" s="416"/>
      <c r="K152" s="422"/>
      <c r="L152" s="423"/>
    </row>
    <row r="153" spans="1:12" x14ac:dyDescent="0.35">
      <c r="A153" s="363"/>
      <c r="B153" s="334" t="str">
        <f>'2. GSS'!B78</f>
        <v>NDB</v>
      </c>
      <c r="C153" s="334" t="str">
        <f>'2. GSS'!C78</f>
        <v>STL</v>
      </c>
      <c r="D153" s="334">
        <f>'2. GSS'!D78</f>
        <v>270</v>
      </c>
      <c r="E153" s="423"/>
      <c r="F153" s="23"/>
      <c r="G153" s="23"/>
      <c r="H153" s="23"/>
      <c r="I153" s="416"/>
      <c r="J153" s="416"/>
      <c r="K153" s="422"/>
      <c r="L153" s="423"/>
    </row>
    <row r="154" spans="1:12" x14ac:dyDescent="0.35">
      <c r="A154" s="363"/>
      <c r="B154" s="334" t="str">
        <f>'2. GSS'!B79</f>
        <v>NDB</v>
      </c>
      <c r="C154" s="334" t="str">
        <f>'2. GSS'!C79</f>
        <v>STL</v>
      </c>
      <c r="D154" s="334">
        <f>'2. GSS'!D79</f>
        <v>270</v>
      </c>
      <c r="E154" s="423"/>
      <c r="F154" s="23"/>
      <c r="G154" s="23"/>
      <c r="H154" s="23"/>
      <c r="I154" s="416"/>
      <c r="J154" s="416"/>
      <c r="K154" s="422"/>
      <c r="L154" s="423"/>
    </row>
    <row r="155" spans="1:12" x14ac:dyDescent="0.35">
      <c r="A155" s="363"/>
      <c r="B155" s="334" t="str">
        <f>'2. GSS'!B80</f>
        <v>NDB</v>
      </c>
      <c r="C155" s="334" t="str">
        <f>'2. GSS'!C80</f>
        <v>STL</v>
      </c>
      <c r="D155" s="334">
        <f>'2. GSS'!D80</f>
        <v>270</v>
      </c>
      <c r="E155" s="423"/>
      <c r="F155" s="23"/>
      <c r="G155" s="23"/>
      <c r="H155" s="23"/>
      <c r="I155" s="416"/>
      <c r="J155" s="416"/>
      <c r="K155" s="422"/>
      <c r="L155" s="423"/>
    </row>
    <row r="156" spans="1:12" x14ac:dyDescent="0.35">
      <c r="A156" s="363"/>
      <c r="B156" s="334" t="str">
        <f>'2. GSS'!B81</f>
        <v>NDB</v>
      </c>
      <c r="C156" s="334" t="str">
        <f>'2. GSS'!C81</f>
        <v>STL</v>
      </c>
      <c r="D156" s="334">
        <f>'2. GSS'!D81</f>
        <v>270</v>
      </c>
      <c r="E156" s="423"/>
      <c r="F156" s="23"/>
      <c r="G156" s="23"/>
      <c r="H156" s="23"/>
      <c r="I156" s="416"/>
      <c r="J156" s="416"/>
      <c r="K156" s="422"/>
      <c r="L156" s="423"/>
    </row>
    <row r="157" spans="1:12" x14ac:dyDescent="0.35">
      <c r="A157" s="363"/>
      <c r="B157" s="334" t="str">
        <f>'2. GSS'!B82</f>
        <v>NDB</v>
      </c>
      <c r="C157" s="334" t="str">
        <f>'2. GSS'!C82</f>
        <v>STL</v>
      </c>
      <c r="D157" s="334">
        <f>'2. GSS'!D82</f>
        <v>270</v>
      </c>
      <c r="E157" s="423"/>
      <c r="F157" s="23"/>
      <c r="G157" s="23"/>
      <c r="H157" s="23"/>
      <c r="I157" s="416"/>
      <c r="J157" s="416"/>
      <c r="K157" s="422"/>
      <c r="L157" s="423"/>
    </row>
    <row r="158" spans="1:12" x14ac:dyDescent="0.35">
      <c r="A158" s="363"/>
      <c r="B158" s="334" t="str">
        <f>'2. GSS'!B83</f>
        <v>NDB</v>
      </c>
      <c r="C158" s="334" t="str">
        <f>'2. GSS'!C83</f>
        <v>STL</v>
      </c>
      <c r="D158" s="334">
        <f>'2. GSS'!D83</f>
        <v>270</v>
      </c>
      <c r="E158" s="423"/>
      <c r="F158" s="23"/>
      <c r="G158" s="23"/>
      <c r="H158" s="23"/>
      <c r="I158" s="416"/>
      <c r="J158" s="416"/>
      <c r="K158" s="422"/>
      <c r="L158" s="423"/>
    </row>
    <row r="159" spans="1:12" x14ac:dyDescent="0.35">
      <c r="A159" s="363"/>
      <c r="B159" s="334" t="str">
        <f>'2. GSS'!B84</f>
        <v>NDB</v>
      </c>
      <c r="C159" s="334" t="str">
        <f>'2. GSS'!C84</f>
        <v>STL</v>
      </c>
      <c r="D159" s="334">
        <f>'2. GSS'!D84</f>
        <v>270</v>
      </c>
      <c r="E159" s="423"/>
      <c r="F159" s="23"/>
      <c r="G159" s="23"/>
      <c r="H159" s="23"/>
      <c r="I159" s="416"/>
      <c r="J159" s="416"/>
      <c r="K159" s="422"/>
      <c r="L159" s="423"/>
    </row>
    <row r="160" spans="1:12" x14ac:dyDescent="0.35">
      <c r="A160" s="363"/>
      <c r="B160" s="334" t="str">
        <f>'2. GSS'!B85</f>
        <v>NDB</v>
      </c>
      <c r="C160" s="334" t="str">
        <f>'2. GSS'!C85</f>
        <v>STL</v>
      </c>
      <c r="D160" s="334">
        <f>'2. GSS'!D85</f>
        <v>270</v>
      </c>
      <c r="E160" s="423"/>
      <c r="F160" s="23"/>
      <c r="G160" s="23"/>
      <c r="H160" s="23"/>
      <c r="I160" s="416"/>
      <c r="J160" s="416"/>
      <c r="K160" s="422"/>
      <c r="L160" s="423"/>
    </row>
    <row r="161" spans="1:12" x14ac:dyDescent="0.35">
      <c r="A161" s="363"/>
      <c r="B161" s="334" t="str">
        <f>'2. GSS'!B86</f>
        <v>NDB</v>
      </c>
      <c r="C161" s="334" t="str">
        <f>'2. GSS'!C86</f>
        <v>STL</v>
      </c>
      <c r="D161" s="334">
        <f>'2. GSS'!D86</f>
        <v>270</v>
      </c>
      <c r="E161" s="423"/>
      <c r="F161" s="23"/>
      <c r="G161" s="23"/>
      <c r="H161" s="23"/>
      <c r="I161" s="416"/>
      <c r="J161" s="416"/>
      <c r="K161" s="422"/>
      <c r="L161" s="423"/>
    </row>
    <row r="162" spans="1:12" x14ac:dyDescent="0.35">
      <c r="A162" s="363"/>
      <c r="B162" s="334" t="str">
        <f>'2. GSS'!B87</f>
        <v>NDB</v>
      </c>
      <c r="C162" s="334" t="str">
        <f>'2. GSS'!C87</f>
        <v>STL</v>
      </c>
      <c r="D162" s="334">
        <f>'2. GSS'!D87</f>
        <v>270</v>
      </c>
      <c r="E162" s="423"/>
      <c r="F162" s="23"/>
      <c r="G162" s="23"/>
      <c r="H162" s="23"/>
      <c r="I162" s="416"/>
      <c r="J162" s="416"/>
      <c r="K162" s="422"/>
      <c r="L162" s="423"/>
    </row>
    <row r="163" spans="1:12" x14ac:dyDescent="0.35">
      <c r="A163" s="363"/>
      <c r="B163" s="334" t="str">
        <f>'2. GSS'!B88</f>
        <v>NDB</v>
      </c>
      <c r="C163" s="334" t="str">
        <f>'2. GSS'!C88</f>
        <v>STL</v>
      </c>
      <c r="D163" s="334">
        <f>'2. GSS'!D88</f>
        <v>270</v>
      </c>
      <c r="E163" s="423"/>
      <c r="F163" s="23"/>
      <c r="G163" s="23"/>
      <c r="H163" s="23"/>
      <c r="I163" s="416"/>
      <c r="J163" s="416"/>
      <c r="K163" s="422"/>
      <c r="L163" s="423"/>
    </row>
    <row r="164" spans="1:12" x14ac:dyDescent="0.35">
      <c r="A164" s="363"/>
      <c r="B164" s="334" t="str">
        <f>'2. GSS'!B89</f>
        <v>NDB</v>
      </c>
      <c r="C164" s="334" t="str">
        <f>'2. GSS'!C89</f>
        <v>STL</v>
      </c>
      <c r="D164" s="334">
        <f>'2. GSS'!D89</f>
        <v>270</v>
      </c>
      <c r="E164" s="423"/>
      <c r="F164" s="23"/>
      <c r="G164" s="23"/>
      <c r="H164" s="23"/>
      <c r="I164" s="416"/>
      <c r="J164" s="416"/>
      <c r="K164" s="422"/>
      <c r="L164" s="423"/>
    </row>
    <row r="165" spans="1:12" x14ac:dyDescent="0.35">
      <c r="A165" s="363"/>
      <c r="B165" s="334" t="str">
        <f>'2. GSS'!B90</f>
        <v>NDB</v>
      </c>
      <c r="C165" s="334" t="str">
        <f>'2. GSS'!C90</f>
        <v>STL</v>
      </c>
      <c r="D165" s="334">
        <f>'2. GSS'!D90</f>
        <v>270</v>
      </c>
      <c r="E165" s="423"/>
      <c r="F165" s="23"/>
      <c r="G165" s="23"/>
      <c r="H165" s="23"/>
      <c r="I165" s="416"/>
      <c r="J165" s="416"/>
      <c r="K165" s="422"/>
      <c r="L165" s="423"/>
    </row>
    <row r="166" spans="1:12" x14ac:dyDescent="0.35">
      <c r="A166" s="363"/>
      <c r="B166" s="334" t="str">
        <f>'2. GSS'!B91</f>
        <v>NDB</v>
      </c>
      <c r="C166" s="334" t="str">
        <f>'2. GSS'!C91</f>
        <v>STL</v>
      </c>
      <c r="D166" s="334">
        <f>'2. GSS'!D91</f>
        <v>270</v>
      </c>
      <c r="E166" s="423"/>
      <c r="F166" s="23"/>
      <c r="G166" s="23"/>
      <c r="H166" s="23"/>
      <c r="I166" s="416"/>
      <c r="J166" s="416"/>
      <c r="K166" s="422"/>
      <c r="L166" s="423"/>
    </row>
    <row r="167" spans="1:12" x14ac:dyDescent="0.35">
      <c r="A167" s="363"/>
      <c r="B167" s="334" t="str">
        <f>'2. GSS'!B92</f>
        <v>NDB</v>
      </c>
      <c r="C167" s="334" t="str">
        <f>'2. GSS'!C92</f>
        <v>STL</v>
      </c>
      <c r="D167" s="334">
        <f>'2. GSS'!D92</f>
        <v>270</v>
      </c>
      <c r="E167" s="423"/>
      <c r="F167" s="23"/>
      <c r="G167" s="23"/>
      <c r="H167" s="23"/>
      <c r="I167" s="416"/>
      <c r="J167" s="416"/>
      <c r="K167" s="422"/>
      <c r="L167" s="423"/>
    </row>
    <row r="168" spans="1:12" x14ac:dyDescent="0.35">
      <c r="A168" s="363"/>
      <c r="B168" s="334" t="str">
        <f>'2. GSS'!B93</f>
        <v>NDB</v>
      </c>
      <c r="C168" s="334" t="str">
        <f>'2. GSS'!C93</f>
        <v>STL</v>
      </c>
      <c r="D168" s="334">
        <f>'2. GSS'!D93</f>
        <v>270</v>
      </c>
      <c r="E168" s="423"/>
      <c r="F168" s="23"/>
      <c r="G168" s="23"/>
      <c r="H168" s="23"/>
      <c r="I168" s="416"/>
      <c r="J168" s="416"/>
      <c r="K168" s="422"/>
      <c r="L168" s="423"/>
    </row>
    <row r="169" spans="1:12" x14ac:dyDescent="0.35">
      <c r="A169" s="363"/>
      <c r="B169" s="334" t="str">
        <f>'2. GSS'!B94</f>
        <v>NDB</v>
      </c>
      <c r="C169" s="334" t="str">
        <f>'2. GSS'!C94</f>
        <v>STL</v>
      </c>
      <c r="D169" s="334">
        <f>'2. GSS'!D94</f>
        <v>270</v>
      </c>
      <c r="E169" s="423"/>
      <c r="F169" s="23"/>
      <c r="G169" s="23"/>
      <c r="H169" s="23"/>
      <c r="I169" s="416"/>
      <c r="J169" s="416"/>
      <c r="K169" s="422"/>
      <c r="L169" s="423"/>
    </row>
    <row r="170" spans="1:12" x14ac:dyDescent="0.35">
      <c r="A170" s="363"/>
      <c r="B170" s="334" t="str">
        <f>'2. GSS'!B95</f>
        <v>NDB</v>
      </c>
      <c r="C170" s="334" t="str">
        <f>'2. GSS'!C95</f>
        <v>STL</v>
      </c>
      <c r="D170" s="334">
        <f>'2. GSS'!D95</f>
        <v>270</v>
      </c>
      <c r="E170" s="423"/>
      <c r="F170" s="23"/>
      <c r="G170" s="23"/>
      <c r="H170" s="23"/>
      <c r="I170" s="416"/>
      <c r="J170" s="416"/>
      <c r="K170" s="422"/>
      <c r="L170" s="423"/>
    </row>
    <row r="171" spans="1:12" x14ac:dyDescent="0.35">
      <c r="A171" s="363"/>
      <c r="B171" s="334" t="str">
        <f>'2. GSS'!B96</f>
        <v>NDB</v>
      </c>
      <c r="C171" s="334" t="str">
        <f>'2. GSS'!C96</f>
        <v>STL</v>
      </c>
      <c r="D171" s="334">
        <f>'2. GSS'!D96</f>
        <v>270</v>
      </c>
      <c r="E171" s="423"/>
      <c r="F171" s="23"/>
      <c r="G171" s="23"/>
      <c r="H171" s="23"/>
      <c r="I171" s="416"/>
      <c r="J171" s="416"/>
      <c r="K171" s="422"/>
      <c r="L171" s="423"/>
    </row>
    <row r="172" spans="1:12" x14ac:dyDescent="0.35">
      <c r="A172" s="363"/>
      <c r="B172" s="334" t="str">
        <f>'2. GSS'!B97</f>
        <v>NDB</v>
      </c>
      <c r="C172" s="334" t="str">
        <f>'2. GSS'!C97</f>
        <v>STL</v>
      </c>
      <c r="D172" s="334">
        <f>'2. GSS'!D97</f>
        <v>270</v>
      </c>
      <c r="E172" s="423"/>
      <c r="F172" s="23"/>
      <c r="G172" s="23"/>
      <c r="H172" s="23"/>
      <c r="I172" s="416"/>
      <c r="J172" s="416"/>
      <c r="K172" s="422"/>
      <c r="L172" s="423"/>
    </row>
    <row r="173" spans="1:12" x14ac:dyDescent="0.35">
      <c r="A173" s="363"/>
      <c r="B173" s="334" t="str">
        <f>'2. GSS'!B98</f>
        <v>NDB</v>
      </c>
      <c r="C173" s="334" t="str">
        <f>'2. GSS'!C98</f>
        <v>STL</v>
      </c>
      <c r="D173" s="334">
        <f>'2. GSS'!D98</f>
        <v>270</v>
      </c>
      <c r="E173" s="423"/>
      <c r="F173" s="23"/>
      <c r="G173" s="23"/>
      <c r="H173" s="23"/>
      <c r="I173" s="416"/>
      <c r="J173" s="416"/>
      <c r="K173" s="422"/>
      <c r="L173" s="423"/>
    </row>
    <row r="174" spans="1:12" x14ac:dyDescent="0.35">
      <c r="A174" s="363"/>
      <c r="B174" s="334" t="str">
        <f>'2. GSS'!B99</f>
        <v>NDB</v>
      </c>
      <c r="C174" s="334" t="str">
        <f>'2. GSS'!C99</f>
        <v>STL</v>
      </c>
      <c r="D174" s="334">
        <f>'2. GSS'!D99</f>
        <v>270</v>
      </c>
      <c r="E174" s="423"/>
      <c r="F174" s="23"/>
      <c r="G174" s="23"/>
      <c r="H174" s="23"/>
      <c r="I174" s="416"/>
      <c r="J174" s="416"/>
      <c r="K174" s="422"/>
      <c r="L174" s="423"/>
    </row>
    <row r="175" spans="1:12" x14ac:dyDescent="0.35">
      <c r="A175" s="363"/>
      <c r="B175" s="334" t="str">
        <f>'2. GSS'!B100</f>
        <v>NDB</v>
      </c>
      <c r="C175" s="334" t="str">
        <f>'2. GSS'!C100</f>
        <v>STL</v>
      </c>
      <c r="D175" s="334">
        <f>'2. GSS'!D100</f>
        <v>270</v>
      </c>
      <c r="E175" s="423"/>
      <c r="F175" s="23"/>
      <c r="G175" s="23"/>
      <c r="H175" s="23"/>
      <c r="I175" s="416"/>
      <c r="J175" s="416"/>
      <c r="K175" s="422"/>
      <c r="L175" s="423"/>
    </row>
    <row r="176" spans="1:12" x14ac:dyDescent="0.35">
      <c r="A176" s="363"/>
      <c r="B176" s="334" t="str">
        <f>'2. GSS'!B101</f>
        <v>NDB</v>
      </c>
      <c r="C176" s="334" t="str">
        <f>'2. GSS'!C101</f>
        <v>STL</v>
      </c>
      <c r="D176" s="334">
        <f>'2. GSS'!D101</f>
        <v>270</v>
      </c>
      <c r="E176" s="423"/>
      <c r="F176" s="23"/>
      <c r="G176" s="23"/>
      <c r="H176" s="23"/>
      <c r="I176" s="416"/>
      <c r="J176" s="416"/>
      <c r="K176" s="422"/>
      <c r="L176" s="423"/>
    </row>
    <row r="177" spans="1:12" x14ac:dyDescent="0.35">
      <c r="A177" s="363"/>
      <c r="B177" s="334" t="str">
        <f>'2. GSS'!B102</f>
        <v>NDB</v>
      </c>
      <c r="C177" s="334" t="str">
        <f>'2. GSS'!C102</f>
        <v>STL</v>
      </c>
      <c r="D177" s="334">
        <f>'2. GSS'!D102</f>
        <v>270</v>
      </c>
      <c r="E177" s="423"/>
      <c r="F177" s="23"/>
      <c r="G177" s="23"/>
      <c r="H177" s="23"/>
      <c r="I177" s="416"/>
      <c r="J177" s="416"/>
      <c r="K177" s="422"/>
      <c r="L177" s="423"/>
    </row>
    <row r="178" spans="1:12" x14ac:dyDescent="0.35">
      <c r="A178" s="363"/>
      <c r="B178" s="334" t="str">
        <f>'2. GSS'!B103</f>
        <v>NDB</v>
      </c>
      <c r="C178" s="334" t="str">
        <f>'2. GSS'!C103</f>
        <v>STL</v>
      </c>
      <c r="D178" s="334">
        <f>'2. GSS'!D103</f>
        <v>270</v>
      </c>
      <c r="E178" s="423"/>
      <c r="F178" s="23"/>
      <c r="G178" s="23"/>
      <c r="H178" s="23"/>
      <c r="I178" s="416"/>
      <c r="J178" s="416"/>
      <c r="K178" s="422"/>
      <c r="L178" s="423"/>
    </row>
    <row r="179" spans="1:12" x14ac:dyDescent="0.35">
      <c r="A179" s="363"/>
      <c r="B179" s="334" t="str">
        <f>'2. GSS'!B104</f>
        <v>NDB</v>
      </c>
      <c r="C179" s="334" t="str">
        <f>'2. GSS'!C104</f>
        <v>STL</v>
      </c>
      <c r="D179" s="334">
        <f>'2. GSS'!D104</f>
        <v>270</v>
      </c>
      <c r="E179" s="423"/>
      <c r="F179" s="23"/>
      <c r="G179" s="23"/>
      <c r="H179" s="23"/>
      <c r="I179" s="416"/>
      <c r="J179" s="416"/>
      <c r="K179" s="422"/>
      <c r="L179" s="423"/>
    </row>
    <row r="180" spans="1:12" x14ac:dyDescent="0.35">
      <c r="A180" s="363"/>
      <c r="B180" s="334" t="str">
        <f>'2. GSS'!B105</f>
        <v>NDB</v>
      </c>
      <c r="C180" s="334" t="str">
        <f>'2. GSS'!C105</f>
        <v>STL</v>
      </c>
      <c r="D180" s="334">
        <f>'2. GSS'!D105</f>
        <v>270</v>
      </c>
      <c r="E180" s="423"/>
      <c r="F180" s="23"/>
      <c r="G180" s="23"/>
      <c r="H180" s="23"/>
      <c r="I180" s="416"/>
      <c r="J180" s="416"/>
      <c r="K180" s="422"/>
      <c r="L180" s="423"/>
    </row>
    <row r="181" spans="1:12" x14ac:dyDescent="0.35">
      <c r="A181" s="363"/>
      <c r="B181" s="334" t="str">
        <f>'2. GSS'!B106</f>
        <v>NDB</v>
      </c>
      <c r="C181" s="334" t="str">
        <f>'2. GSS'!C106</f>
        <v>STL</v>
      </c>
      <c r="D181" s="334">
        <f>'2. GSS'!D106</f>
        <v>270</v>
      </c>
      <c r="E181" s="423"/>
      <c r="F181" s="23"/>
      <c r="G181" s="23"/>
      <c r="H181" s="23"/>
      <c r="I181" s="416"/>
      <c r="J181" s="416"/>
      <c r="K181" s="422"/>
      <c r="L181" s="423"/>
    </row>
    <row r="182" spans="1:12" x14ac:dyDescent="0.35">
      <c r="A182" s="363"/>
      <c r="B182" s="334" t="str">
        <f>'2. GSS'!B107</f>
        <v>NDB</v>
      </c>
      <c r="C182" s="334" t="str">
        <f>'2. GSS'!C107</f>
        <v>STL</v>
      </c>
      <c r="D182" s="334">
        <f>'2. GSS'!D107</f>
        <v>270</v>
      </c>
      <c r="E182" s="423"/>
      <c r="F182" s="23"/>
      <c r="G182" s="23"/>
      <c r="H182" s="23"/>
      <c r="I182" s="416"/>
      <c r="J182" s="416"/>
      <c r="K182" s="422"/>
      <c r="L182" s="423"/>
    </row>
    <row r="183" spans="1:12" x14ac:dyDescent="0.35">
      <c r="A183" s="363"/>
      <c r="B183" s="334" t="str">
        <f>'2. GSS'!B108</f>
        <v>NDB</v>
      </c>
      <c r="C183" s="334" t="str">
        <f>'2. GSS'!C108</f>
        <v>STL</v>
      </c>
      <c r="D183" s="334">
        <f>'2. GSS'!D108</f>
        <v>270</v>
      </c>
      <c r="E183" s="423"/>
      <c r="F183" s="23"/>
      <c r="G183" s="23"/>
      <c r="H183" s="23"/>
      <c r="I183" s="416"/>
      <c r="J183" s="416"/>
      <c r="K183" s="422"/>
      <c r="L183" s="423"/>
    </row>
    <row r="184" spans="1:12" x14ac:dyDescent="0.35">
      <c r="A184" s="363"/>
      <c r="B184" s="334" t="str">
        <f>'2. GSS'!B109</f>
        <v>NDB</v>
      </c>
      <c r="C184" s="334" t="str">
        <f>'2. GSS'!C109</f>
        <v>STL</v>
      </c>
      <c r="D184" s="334">
        <f>'2. GSS'!D109</f>
        <v>270</v>
      </c>
      <c r="E184" s="423"/>
      <c r="F184" s="23"/>
      <c r="G184" s="23"/>
      <c r="H184" s="23"/>
      <c r="I184" s="416"/>
      <c r="J184" s="416"/>
      <c r="K184" s="422"/>
      <c r="L184" s="423"/>
    </row>
    <row r="185" spans="1:12" x14ac:dyDescent="0.35">
      <c r="A185" s="363"/>
      <c r="B185" s="334" t="str">
        <f>'2. GSS'!B110</f>
        <v>NDB</v>
      </c>
      <c r="C185" s="334" t="str">
        <f>'2. GSS'!C110</f>
        <v>STL</v>
      </c>
      <c r="D185" s="334">
        <f>'2. GSS'!D110</f>
        <v>270</v>
      </c>
      <c r="E185" s="423"/>
      <c r="F185" s="23"/>
      <c r="G185" s="23"/>
      <c r="H185" s="23"/>
      <c r="I185" s="416"/>
      <c r="J185" s="416"/>
      <c r="K185" s="422"/>
      <c r="L185" s="423"/>
    </row>
    <row r="186" spans="1:12" x14ac:dyDescent="0.35">
      <c r="A186" s="363"/>
      <c r="B186" s="334" t="str">
        <f>'2. GSS'!B111</f>
        <v>NDB</v>
      </c>
      <c r="C186" s="334" t="str">
        <f>'2. GSS'!C111</f>
        <v>STL</v>
      </c>
      <c r="D186" s="334">
        <f>'2. GSS'!D111</f>
        <v>270</v>
      </c>
      <c r="E186" s="423"/>
      <c r="F186" s="23"/>
      <c r="G186" s="23"/>
      <c r="H186" s="23"/>
      <c r="I186" s="416"/>
      <c r="J186" s="416"/>
      <c r="K186" s="422"/>
      <c r="L186" s="423"/>
    </row>
    <row r="187" spans="1:12" x14ac:dyDescent="0.35">
      <c r="A187" s="363"/>
      <c r="B187" s="334" t="str">
        <f>'2. GSS'!B112</f>
        <v>NDB</v>
      </c>
      <c r="C187" s="334" t="str">
        <f>'2. GSS'!C112</f>
        <v>STL</v>
      </c>
      <c r="D187" s="334">
        <f>'2. GSS'!D112</f>
        <v>270</v>
      </c>
      <c r="E187" s="423"/>
      <c r="F187" s="23"/>
      <c r="G187" s="23"/>
      <c r="H187" s="23"/>
      <c r="I187" s="416"/>
      <c r="J187" s="416"/>
      <c r="K187" s="422"/>
      <c r="L187" s="423"/>
    </row>
    <row r="188" spans="1:12" x14ac:dyDescent="0.35">
      <c r="A188" s="363"/>
      <c r="B188" s="334" t="str">
        <f>'2. GSS'!B113</f>
        <v>NDB</v>
      </c>
      <c r="C188" s="334" t="str">
        <f>'2. GSS'!C113</f>
        <v>STL</v>
      </c>
      <c r="D188" s="334">
        <f>'2. GSS'!D113</f>
        <v>270</v>
      </c>
      <c r="E188" s="423"/>
      <c r="F188" s="23"/>
      <c r="G188" s="23"/>
      <c r="H188" s="23"/>
      <c r="I188" s="416"/>
      <c r="J188" s="416"/>
      <c r="K188" s="422"/>
      <c r="L188" s="423"/>
    </row>
    <row r="189" spans="1:12" x14ac:dyDescent="0.35">
      <c r="A189" s="363"/>
      <c r="B189" s="334" t="str">
        <f>'2. GSS'!B114</f>
        <v>NDB</v>
      </c>
      <c r="C189" s="334" t="str">
        <f>'2. GSS'!C114</f>
        <v>STL</v>
      </c>
      <c r="D189" s="334">
        <f>'2. GSS'!D114</f>
        <v>270</v>
      </c>
      <c r="E189" s="423"/>
      <c r="F189" s="23"/>
      <c r="G189" s="23"/>
      <c r="H189" s="23"/>
      <c r="I189" s="416"/>
      <c r="J189" s="416"/>
      <c r="K189" s="422"/>
      <c r="L189" s="423"/>
    </row>
    <row r="190" spans="1:12" x14ac:dyDescent="0.35">
      <c r="A190" s="363"/>
      <c r="B190" s="334" t="str">
        <f>'2. GSS'!B115</f>
        <v>NDB</v>
      </c>
      <c r="C190" s="334" t="str">
        <f>'2. GSS'!C115</f>
        <v>STL</v>
      </c>
      <c r="D190" s="334">
        <f>'2. GSS'!D115</f>
        <v>270</v>
      </c>
      <c r="E190" s="423"/>
      <c r="F190" s="23"/>
      <c r="G190" s="23"/>
      <c r="H190" s="23"/>
      <c r="I190" s="416"/>
      <c r="J190" s="416"/>
      <c r="K190" s="422"/>
      <c r="L190" s="423"/>
    </row>
    <row r="191" spans="1:12" x14ac:dyDescent="0.35">
      <c r="A191" s="363"/>
      <c r="B191" s="334" t="str">
        <f>'2. GSS'!B116</f>
        <v>NDB</v>
      </c>
      <c r="C191" s="334" t="str">
        <f>'2. GSS'!C116</f>
        <v>STL</v>
      </c>
      <c r="D191" s="334">
        <f>'2. GSS'!D116</f>
        <v>270</v>
      </c>
      <c r="E191" s="423"/>
      <c r="F191" s="23"/>
      <c r="G191" s="23"/>
      <c r="H191" s="23"/>
      <c r="I191" s="416"/>
      <c r="J191" s="416"/>
      <c r="K191" s="422"/>
      <c r="L191" s="423"/>
    </row>
    <row r="192" spans="1:12" x14ac:dyDescent="0.35">
      <c r="A192" s="363"/>
      <c r="B192" s="334" t="str">
        <f>'2. GSS'!B117</f>
        <v>NDB</v>
      </c>
      <c r="C192" s="334" t="str">
        <f>'2. GSS'!C117</f>
        <v>STL</v>
      </c>
      <c r="D192" s="334">
        <f>'2. GSS'!D117</f>
        <v>270</v>
      </c>
      <c r="E192" s="423"/>
      <c r="F192" s="23"/>
      <c r="G192" s="23"/>
      <c r="H192" s="23"/>
      <c r="I192" s="416"/>
      <c r="J192" s="416"/>
      <c r="K192" s="422"/>
      <c r="L192" s="423"/>
    </row>
    <row r="193" spans="1:12" x14ac:dyDescent="0.35">
      <c r="A193" s="363"/>
      <c r="B193" s="334" t="str">
        <f>'2. GSS'!B118</f>
        <v>NDB</v>
      </c>
      <c r="C193" s="334" t="str">
        <f>'2. GSS'!C118</f>
        <v>STL</v>
      </c>
      <c r="D193" s="334">
        <f>'2. GSS'!D118</f>
        <v>270</v>
      </c>
      <c r="E193" s="423"/>
      <c r="F193" s="23"/>
      <c r="G193" s="23"/>
      <c r="H193" s="23"/>
      <c r="I193" s="416"/>
      <c r="J193" s="416"/>
      <c r="K193" s="422"/>
      <c r="L193" s="423"/>
    </row>
    <row r="194" spans="1:12" x14ac:dyDescent="0.35">
      <c r="A194" s="363"/>
      <c r="B194" s="334" t="str">
        <f>'2. GSS'!B119</f>
        <v>NDB</v>
      </c>
      <c r="C194" s="334" t="str">
        <f>'2. GSS'!C119</f>
        <v>STL</v>
      </c>
      <c r="D194" s="334">
        <f>'2. GSS'!D119</f>
        <v>270</v>
      </c>
      <c r="E194" s="423"/>
      <c r="F194" s="23"/>
      <c r="G194" s="23"/>
      <c r="H194" s="23"/>
      <c r="I194" s="416"/>
      <c r="J194" s="416"/>
      <c r="K194" s="422"/>
      <c r="L194" s="423"/>
    </row>
    <row r="195" spans="1:12" x14ac:dyDescent="0.35">
      <c r="A195" s="363"/>
      <c r="B195" s="334" t="str">
        <f>'2. GSS'!B120</f>
        <v>NDB</v>
      </c>
      <c r="C195" s="334" t="str">
        <f>'2. GSS'!C120</f>
        <v>STL</v>
      </c>
      <c r="D195" s="334">
        <f>'2. GSS'!D120</f>
        <v>270</v>
      </c>
      <c r="E195" s="423"/>
      <c r="F195" s="23"/>
      <c r="G195" s="23"/>
      <c r="H195" s="23"/>
      <c r="I195" s="416"/>
      <c r="J195" s="416"/>
      <c r="K195" s="422"/>
      <c r="L195" s="423"/>
    </row>
    <row r="196" spans="1:12" x14ac:dyDescent="0.35">
      <c r="A196" s="363"/>
      <c r="B196" s="334" t="str">
        <f>'2. GSS'!B121</f>
        <v>NDB</v>
      </c>
      <c r="C196" s="334" t="str">
        <f>'2. GSS'!C121</f>
        <v>STL</v>
      </c>
      <c r="D196" s="334">
        <f>'2. GSS'!D121</f>
        <v>270</v>
      </c>
      <c r="E196" s="423"/>
      <c r="F196" s="23"/>
      <c r="G196" s="23"/>
      <c r="H196" s="23"/>
      <c r="I196" s="416"/>
      <c r="J196" s="416"/>
      <c r="K196" s="422"/>
      <c r="L196" s="423"/>
    </row>
    <row r="197" spans="1:12" x14ac:dyDescent="0.35">
      <c r="A197" s="363"/>
      <c r="B197" s="334" t="str">
        <f>'2. GSS'!B122</f>
        <v>NDB</v>
      </c>
      <c r="C197" s="334" t="str">
        <f>'2. GSS'!C122</f>
        <v>STL</v>
      </c>
      <c r="D197" s="334">
        <f>'2. GSS'!D122</f>
        <v>270</v>
      </c>
      <c r="E197" s="423"/>
      <c r="F197" s="23"/>
      <c r="G197" s="23"/>
      <c r="H197" s="23"/>
      <c r="I197" s="416"/>
      <c r="J197" s="416"/>
      <c r="K197" s="422"/>
      <c r="L197" s="423"/>
    </row>
    <row r="198" spans="1:12" x14ac:dyDescent="0.35">
      <c r="A198" s="363"/>
      <c r="B198" s="334" t="str">
        <f>'2. GSS'!B123</f>
        <v>NDB</v>
      </c>
      <c r="C198" s="334" t="str">
        <f>'2. GSS'!C123</f>
        <v>STL</v>
      </c>
      <c r="D198" s="334">
        <f>'2. GSS'!D123</f>
        <v>270</v>
      </c>
      <c r="E198" s="423"/>
      <c r="F198" s="23"/>
      <c r="G198" s="23"/>
      <c r="H198" s="23"/>
      <c r="I198" s="416"/>
      <c r="J198" s="416"/>
      <c r="K198" s="422"/>
      <c r="L198" s="423"/>
    </row>
    <row r="199" spans="1:12" x14ac:dyDescent="0.35">
      <c r="A199" s="363"/>
      <c r="B199" s="334" t="str">
        <f>'2. GSS'!B124</f>
        <v>NDB</v>
      </c>
      <c r="C199" s="334" t="str">
        <f>'2. GSS'!C124</f>
        <v>STL</v>
      </c>
      <c r="D199" s="334">
        <f>'2. GSS'!D124</f>
        <v>270</v>
      </c>
      <c r="E199" s="423"/>
      <c r="F199" s="23"/>
      <c r="G199" s="23"/>
      <c r="H199" s="23"/>
      <c r="I199" s="416"/>
      <c r="J199" s="416"/>
      <c r="K199" s="422"/>
      <c r="L199" s="423"/>
    </row>
    <row r="200" spans="1:12" x14ac:dyDescent="0.35">
      <c r="A200" s="363"/>
      <c r="B200" s="334" t="str">
        <f>'2. GSS'!B125</f>
        <v>NDB</v>
      </c>
      <c r="C200" s="334" t="str">
        <f>'2. GSS'!C125</f>
        <v>STL</v>
      </c>
      <c r="D200" s="334">
        <f>'2. GSS'!D125</f>
        <v>270</v>
      </c>
      <c r="E200" s="423"/>
      <c r="F200" s="23"/>
      <c r="G200" s="23"/>
      <c r="H200" s="23"/>
      <c r="I200" s="416"/>
      <c r="J200" s="416"/>
      <c r="K200" s="422"/>
      <c r="L200" s="423"/>
    </row>
    <row r="201" spans="1:12" x14ac:dyDescent="0.35">
      <c r="A201" s="363"/>
      <c r="B201" s="334" t="str">
        <f>'2. GSS'!B126</f>
        <v>NDB</v>
      </c>
      <c r="C201" s="334" t="str">
        <f>'2. GSS'!C126</f>
        <v>STL</v>
      </c>
      <c r="D201" s="334">
        <f>'2. GSS'!D126</f>
        <v>270</v>
      </c>
      <c r="E201" s="423"/>
      <c r="F201" s="23"/>
      <c r="G201" s="23"/>
      <c r="H201" s="23"/>
      <c r="I201" s="416"/>
      <c r="J201" s="416"/>
      <c r="K201" s="422"/>
      <c r="L201" s="423"/>
    </row>
    <row r="202" spans="1:12" x14ac:dyDescent="0.35">
      <c r="A202" s="363"/>
      <c r="B202" s="334" t="str">
        <f>'2. GSS'!B127</f>
        <v>NDB</v>
      </c>
      <c r="C202" s="334" t="str">
        <f>'2. GSS'!C127</f>
        <v>STL</v>
      </c>
      <c r="D202" s="334">
        <f>'2. GSS'!D127</f>
        <v>270</v>
      </c>
      <c r="E202" s="423"/>
      <c r="F202" s="23"/>
      <c r="G202" s="23"/>
      <c r="H202" s="23"/>
      <c r="I202" s="416"/>
      <c r="J202" s="416"/>
      <c r="K202" s="422"/>
      <c r="L202" s="423"/>
    </row>
    <row r="203" spans="1:12" x14ac:dyDescent="0.35">
      <c r="A203" s="363"/>
      <c r="B203" s="334" t="str">
        <f>'2. GSS'!B128</f>
        <v>NDB</v>
      </c>
      <c r="C203" s="334" t="str">
        <f>'2. GSS'!C128</f>
        <v>STL</v>
      </c>
      <c r="D203" s="334">
        <f>'2. GSS'!D128</f>
        <v>270</v>
      </c>
      <c r="E203" s="423"/>
      <c r="F203" s="23"/>
      <c r="G203" s="23"/>
      <c r="H203" s="23"/>
      <c r="I203" s="416"/>
      <c r="J203" s="416"/>
      <c r="K203" s="422"/>
      <c r="L203" s="423"/>
    </row>
    <row r="204" spans="1:12" x14ac:dyDescent="0.35">
      <c r="A204" s="363"/>
      <c r="B204" s="334" t="str">
        <f>'2. GSS'!B129</f>
        <v>NDB</v>
      </c>
      <c r="C204" s="334" t="str">
        <f>'2. GSS'!C129</f>
        <v>STL</v>
      </c>
      <c r="D204" s="334">
        <f>'2. GSS'!D129</f>
        <v>270</v>
      </c>
      <c r="E204" s="423"/>
      <c r="F204" s="23"/>
      <c r="G204" s="23"/>
      <c r="H204" s="23"/>
      <c r="I204" s="416"/>
      <c r="J204" s="416"/>
      <c r="K204" s="422"/>
      <c r="L204" s="423"/>
    </row>
    <row r="205" spans="1:12" x14ac:dyDescent="0.35">
      <c r="A205" s="364"/>
      <c r="B205" s="334" t="str">
        <f>'2. GSS'!B130</f>
        <v>NDB</v>
      </c>
      <c r="C205" s="334" t="str">
        <f>'2. GSS'!C130</f>
        <v>STL</v>
      </c>
      <c r="D205" s="334">
        <f>'2. GSS'!D130</f>
        <v>270</v>
      </c>
      <c r="E205" s="423"/>
      <c r="F205" s="23"/>
      <c r="G205" s="23"/>
      <c r="H205" s="23"/>
      <c r="I205" s="416"/>
      <c r="J205" s="416"/>
      <c r="K205" s="422"/>
      <c r="L205" s="423"/>
    </row>
    <row r="206" spans="1:12" ht="29" x14ac:dyDescent="0.35">
      <c r="A206" s="284" t="str">
        <f>'3. Citrus Group'!A26</f>
        <v>Waskaduwa Beach Resort PLC</v>
      </c>
      <c r="B206" s="278" t="str">
        <f>'3. Citrus Group'!B26</f>
        <v>Sampath</v>
      </c>
      <c r="C206" s="278" t="str">
        <f>'3. Citrus Group'!C26</f>
        <v>POD</v>
      </c>
      <c r="D206" s="278" t="str">
        <f>'3. Citrus Group'!D26</f>
        <v>On Demand</v>
      </c>
      <c r="E206" s="424"/>
      <c r="F206" s="23"/>
      <c r="G206" s="23"/>
      <c r="H206" s="23"/>
      <c r="I206" s="416"/>
      <c r="J206" s="416"/>
      <c r="K206" s="416"/>
      <c r="L206" s="424"/>
    </row>
    <row r="207" spans="1:12" ht="29" x14ac:dyDescent="0.35">
      <c r="A207" s="285" t="str">
        <f>'3. Citrus Group'!A27</f>
        <v>Hikkaduwa Beach Resort PLC</v>
      </c>
      <c r="B207" s="224" t="str">
        <f>'3. Citrus Group'!B27</f>
        <v>Sampath</v>
      </c>
      <c r="C207" s="224" t="str">
        <f>'3. Citrus Group'!C27</f>
        <v>POD</v>
      </c>
      <c r="D207" s="224" t="str">
        <f>'3. Citrus Group'!D27</f>
        <v>On Demand</v>
      </c>
      <c r="E207" s="424"/>
      <c r="F207" s="23"/>
      <c r="G207" s="23"/>
      <c r="H207" s="23"/>
      <c r="I207" s="416"/>
      <c r="J207" s="416"/>
      <c r="K207" s="416"/>
      <c r="L207" s="424"/>
    </row>
    <row r="208" spans="1:12" x14ac:dyDescent="0.35">
      <c r="A208" s="360" t="str">
        <f>'3. Citrus Group'!A29</f>
        <v>Citrus Silver Limited</v>
      </c>
      <c r="B208" s="227" t="str">
        <f>'3. Citrus Group'!B29</f>
        <v>Sampath</v>
      </c>
      <c r="C208" s="227" t="str">
        <f>'3. Citrus Group'!C29</f>
        <v>POD</v>
      </c>
      <c r="D208" s="227" t="str">
        <f>'3. Citrus Group'!D29</f>
        <v>On Demand</v>
      </c>
      <c r="E208" s="424"/>
      <c r="F208" s="23"/>
      <c r="G208" s="23"/>
      <c r="H208" s="23"/>
      <c r="I208" s="416"/>
      <c r="J208" s="416"/>
      <c r="K208" s="416"/>
      <c r="L208" s="424"/>
    </row>
    <row r="209" spans="1:12" x14ac:dyDescent="0.35">
      <c r="A209" s="361"/>
      <c r="B209" s="227" t="str">
        <f>'3. Citrus Group'!B30</f>
        <v>HNB</v>
      </c>
      <c r="C209" s="227" t="str">
        <f>'3. Citrus Group'!C30</f>
        <v>POD</v>
      </c>
      <c r="D209" s="227" t="str">
        <f>'3. Citrus Group'!D30</f>
        <v>On Demand</v>
      </c>
      <c r="E209" s="424"/>
      <c r="F209" s="23"/>
      <c r="G209" s="23"/>
      <c r="H209" s="23"/>
      <c r="I209" s="416"/>
      <c r="J209" s="416"/>
      <c r="K209" s="416"/>
      <c r="L209" s="424"/>
    </row>
    <row r="210" spans="1:12" x14ac:dyDescent="0.35">
      <c r="A210" s="286" t="str">
        <f>'3. Citrus Group'!A28</f>
        <v>Citrus Leisure PLC</v>
      </c>
      <c r="B210" s="225" t="str">
        <f>'3. Citrus Group'!B28</f>
        <v>Sampath</v>
      </c>
      <c r="C210" s="225" t="str">
        <f>'3. Citrus Group'!C28</f>
        <v>POD</v>
      </c>
      <c r="D210" s="225" t="str">
        <f>'3. Citrus Group'!D28</f>
        <v>On Demand</v>
      </c>
      <c r="E210" s="424"/>
      <c r="F210" s="23"/>
      <c r="G210" s="23"/>
      <c r="H210" s="23"/>
      <c r="I210" s="416"/>
      <c r="J210" s="416"/>
      <c r="K210" s="416"/>
      <c r="L210" s="424"/>
    </row>
    <row r="211" spans="1:12" x14ac:dyDescent="0.35">
      <c r="A211" s="38"/>
    </row>
    <row r="212" spans="1:12" x14ac:dyDescent="0.35">
      <c r="A212" s="38"/>
    </row>
    <row r="213" spans="1:12" x14ac:dyDescent="0.35">
      <c r="A213" s="38"/>
    </row>
    <row r="214" spans="1:12" x14ac:dyDescent="0.35">
      <c r="A214" s="38"/>
    </row>
    <row r="215" spans="1:12" x14ac:dyDescent="0.35">
      <c r="A215" s="38"/>
    </row>
  </sheetData>
  <mergeCells count="15">
    <mergeCell ref="A6:A9"/>
    <mergeCell ref="A41:A42"/>
    <mergeCell ref="A10:A17"/>
    <mergeCell ref="A43:A86"/>
    <mergeCell ref="A18:A19"/>
    <mergeCell ref="A87:A90"/>
    <mergeCell ref="B32:B33"/>
    <mergeCell ref="A32:A33"/>
    <mergeCell ref="A208:A209"/>
    <mergeCell ref="A91:A205"/>
    <mergeCell ref="A21:A25"/>
    <mergeCell ref="B21:B25"/>
    <mergeCell ref="A26:A31"/>
    <mergeCell ref="B26:B29"/>
    <mergeCell ref="B30:B31"/>
  </mergeCells>
  <pageMargins left="0.7" right="0.7" top="0.75" bottom="0.75" header="0.3" footer="0.3"/>
  <pageSetup paperSize="9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09E5-051C-400F-B8D6-7942535610D1}">
  <sheetPr>
    <tabColor rgb="FF92D050"/>
  </sheetPr>
  <dimension ref="A1:J40"/>
  <sheetViews>
    <sheetView workbookViewId="0">
      <selection activeCell="B4" sqref="B4"/>
    </sheetView>
  </sheetViews>
  <sheetFormatPr defaultRowHeight="14.5" x14ac:dyDescent="0.35"/>
  <cols>
    <col min="1" max="1" width="14.453125" customWidth="1"/>
    <col min="3" max="3" width="11.6328125" bestFit="1" customWidth="1"/>
    <col min="4" max="4" width="10.26953125" bestFit="1" customWidth="1"/>
    <col min="5" max="5" width="14.453125" bestFit="1" customWidth="1"/>
    <col min="6" max="6" width="10.36328125" bestFit="1" customWidth="1"/>
    <col min="7" max="7" width="11.81640625" bestFit="1" customWidth="1"/>
    <col min="8" max="8" width="12.26953125" customWidth="1"/>
    <col min="9" max="9" width="61.453125" bestFit="1" customWidth="1"/>
  </cols>
  <sheetData>
    <row r="1" spans="1:10" x14ac:dyDescent="0.35">
      <c r="A1" s="6" t="s">
        <v>48</v>
      </c>
      <c r="B1" s="7"/>
      <c r="C1" s="8"/>
      <c r="D1" s="9"/>
      <c r="E1" s="8"/>
      <c r="F1" s="7"/>
      <c r="G1" s="8"/>
      <c r="H1" s="8"/>
      <c r="J1" s="5"/>
    </row>
    <row r="2" spans="1:10" x14ac:dyDescent="0.35">
      <c r="A2" s="6"/>
      <c r="B2" s="7"/>
      <c r="C2" s="8"/>
      <c r="D2" s="9"/>
      <c r="E2" s="426" t="s">
        <v>407</v>
      </c>
      <c r="F2" s="7"/>
      <c r="G2" s="8"/>
      <c r="H2" s="426" t="s">
        <v>409</v>
      </c>
      <c r="J2" s="5"/>
    </row>
    <row r="3" spans="1:10" ht="29" customHeight="1" x14ac:dyDescent="0.35">
      <c r="A3" s="13" t="s">
        <v>35</v>
      </c>
      <c r="B3" s="16" t="s">
        <v>49</v>
      </c>
      <c r="C3" s="16" t="s">
        <v>50</v>
      </c>
      <c r="D3" s="20" t="s">
        <v>51</v>
      </c>
      <c r="E3" s="16" t="s">
        <v>52</v>
      </c>
      <c r="F3" s="14" t="s">
        <v>37</v>
      </c>
      <c r="G3" s="14" t="s">
        <v>46</v>
      </c>
      <c r="H3" s="16" t="s">
        <v>408</v>
      </c>
      <c r="I3" s="16" t="s">
        <v>53</v>
      </c>
      <c r="J3" s="5"/>
    </row>
    <row r="4" spans="1:10" ht="28.75" customHeight="1" x14ac:dyDescent="0.35">
      <c r="A4" s="341" t="str">
        <f>'1 &amp; 3 GSIB'!A47</f>
        <v>George Steuart Insurance Brokers (Pvt) Ltd</v>
      </c>
      <c r="B4" s="279" t="str">
        <f>'1 &amp; 3 GSIB'!B47</f>
        <v>NDB Wealth</v>
      </c>
      <c r="C4" s="420"/>
      <c r="D4" s="451"/>
      <c r="E4" s="452"/>
      <c r="F4" s="453"/>
      <c r="G4" s="454"/>
      <c r="H4" s="454"/>
      <c r="I4" s="452"/>
      <c r="J4" s="5"/>
    </row>
    <row r="5" spans="1:10" x14ac:dyDescent="0.35">
      <c r="A5" s="342"/>
      <c r="B5" s="279" t="s">
        <v>267</v>
      </c>
      <c r="C5" s="420"/>
      <c r="D5" s="451"/>
      <c r="E5" s="452"/>
      <c r="F5" s="453"/>
      <c r="G5" s="454"/>
      <c r="H5" s="454"/>
      <c r="I5" s="452"/>
      <c r="J5" s="5"/>
    </row>
    <row r="6" spans="1:10" x14ac:dyDescent="0.35">
      <c r="A6" s="342"/>
      <c r="B6" s="279" t="s">
        <v>267</v>
      </c>
      <c r="C6" s="420"/>
      <c r="D6" s="451"/>
      <c r="E6" s="452"/>
      <c r="F6" s="453"/>
      <c r="G6" s="454"/>
      <c r="H6" s="454"/>
      <c r="I6" s="452"/>
      <c r="J6" s="5"/>
    </row>
    <row r="7" spans="1:10" x14ac:dyDescent="0.35">
      <c r="A7" s="342"/>
      <c r="B7" s="279" t="s">
        <v>267</v>
      </c>
      <c r="C7" s="420"/>
      <c r="D7" s="451"/>
      <c r="E7" s="452"/>
      <c r="F7" s="453"/>
      <c r="G7" s="454"/>
      <c r="H7" s="454"/>
      <c r="I7" s="452"/>
      <c r="J7" s="5"/>
    </row>
    <row r="8" spans="1:10" x14ac:dyDescent="0.35">
      <c r="A8" s="342"/>
      <c r="B8" s="279" t="s">
        <v>267</v>
      </c>
      <c r="C8" s="420"/>
      <c r="D8" s="451"/>
      <c r="E8" s="452"/>
      <c r="F8" s="453"/>
      <c r="G8" s="454"/>
      <c r="H8" s="454"/>
      <c r="I8" s="452"/>
      <c r="J8" s="5"/>
    </row>
    <row r="9" spans="1:10" x14ac:dyDescent="0.35">
      <c r="A9" s="342"/>
      <c r="B9" s="279" t="s">
        <v>103</v>
      </c>
      <c r="C9" s="420"/>
      <c r="D9" s="451"/>
      <c r="E9" s="452"/>
      <c r="F9" s="453"/>
      <c r="G9" s="454"/>
      <c r="H9" s="454"/>
      <c r="I9" s="452"/>
      <c r="J9" s="5"/>
    </row>
    <row r="10" spans="1:10" x14ac:dyDescent="0.35">
      <c r="A10" s="343"/>
      <c r="B10" s="279" t="s">
        <v>103</v>
      </c>
      <c r="C10" s="420"/>
      <c r="D10" s="451"/>
      <c r="E10" s="452"/>
      <c r="F10" s="453"/>
      <c r="G10" s="454"/>
      <c r="H10" s="454"/>
      <c r="I10" s="452"/>
      <c r="J10" s="5"/>
    </row>
    <row r="11" spans="1:10" ht="15" customHeight="1" x14ac:dyDescent="0.35">
      <c r="A11" s="351" t="s">
        <v>283</v>
      </c>
      <c r="B11" s="280" t="str">
        <f>'3. GSH'!B20</f>
        <v>NDB</v>
      </c>
      <c r="C11" s="420"/>
      <c r="D11" s="455"/>
      <c r="E11" s="452"/>
      <c r="F11" s="418"/>
      <c r="G11" s="454"/>
      <c r="H11" s="454"/>
      <c r="I11" s="452"/>
      <c r="J11" s="5"/>
    </row>
    <row r="12" spans="1:10" ht="15" customHeight="1" x14ac:dyDescent="0.35">
      <c r="A12" s="351"/>
      <c r="B12" s="280" t="str">
        <f>'3. GSH'!B21</f>
        <v>NDB</v>
      </c>
      <c r="C12" s="420"/>
      <c r="D12" s="455"/>
      <c r="E12" s="452"/>
      <c r="F12" s="418"/>
      <c r="G12" s="454"/>
      <c r="H12" s="454"/>
      <c r="I12" s="452"/>
      <c r="J12" s="5"/>
    </row>
    <row r="13" spans="1:10" ht="15" customHeight="1" x14ac:dyDescent="0.35">
      <c r="A13" s="351"/>
      <c r="B13" s="280" t="str">
        <f>'3. GSH'!B22</f>
        <v>NDB</v>
      </c>
      <c r="C13" s="420"/>
      <c r="D13" s="455"/>
      <c r="E13" s="452"/>
      <c r="F13" s="418"/>
      <c r="G13" s="454"/>
      <c r="H13" s="454"/>
      <c r="I13" s="452"/>
      <c r="J13" s="5"/>
    </row>
    <row r="14" spans="1:10" ht="15" customHeight="1" x14ac:dyDescent="0.35">
      <c r="A14" s="351"/>
      <c r="B14" s="280" t="str">
        <f>'3. GSH'!B23</f>
        <v>NDB</v>
      </c>
      <c r="C14" s="420"/>
      <c r="D14" s="455"/>
      <c r="E14" s="452"/>
      <c r="F14" s="418"/>
      <c r="G14" s="454"/>
      <c r="H14" s="454"/>
      <c r="I14" s="452"/>
      <c r="J14" s="5"/>
    </row>
    <row r="15" spans="1:10" ht="15" customHeight="1" x14ac:dyDescent="0.35">
      <c r="A15" s="351"/>
      <c r="B15" s="280" t="str">
        <f>'3. GSH'!B24</f>
        <v>DFCC</v>
      </c>
      <c r="C15" s="420"/>
      <c r="D15" s="455"/>
      <c r="E15" s="452"/>
      <c r="F15" s="418"/>
      <c r="G15" s="454"/>
      <c r="H15" s="454"/>
      <c r="I15" s="452"/>
      <c r="J15" s="5"/>
    </row>
    <row r="16" spans="1:10" ht="15" customHeight="1" x14ac:dyDescent="0.35">
      <c r="A16" s="351"/>
      <c r="B16" s="280" t="str">
        <f>'3. GSH'!B25</f>
        <v>DFCC</v>
      </c>
      <c r="C16" s="420"/>
      <c r="D16" s="455"/>
      <c r="E16" s="452"/>
      <c r="F16" s="418"/>
      <c r="G16" s="454"/>
      <c r="H16" s="454"/>
      <c r="I16" s="452"/>
      <c r="J16" s="5"/>
    </row>
    <row r="17" spans="1:10" ht="15" customHeight="1" x14ac:dyDescent="0.35">
      <c r="A17" s="351"/>
      <c r="B17" s="280" t="str">
        <f>'3. GSH'!B26</f>
        <v>DFCC</v>
      </c>
      <c r="C17" s="420"/>
      <c r="D17" s="455"/>
      <c r="E17" s="452"/>
      <c r="F17" s="418"/>
      <c r="G17" s="454"/>
      <c r="H17" s="454"/>
      <c r="I17" s="452"/>
      <c r="J17" s="5"/>
    </row>
    <row r="18" spans="1:10" ht="15" customHeight="1" x14ac:dyDescent="0.35">
      <c r="A18" s="351"/>
      <c r="B18" s="280" t="str">
        <f>'3. GSH'!B27</f>
        <v>DFCC</v>
      </c>
      <c r="C18" s="420"/>
      <c r="D18" s="455"/>
      <c r="E18" s="452"/>
      <c r="F18" s="418"/>
      <c r="G18" s="454"/>
      <c r="H18" s="454"/>
      <c r="I18" s="452"/>
      <c r="J18" s="5"/>
    </row>
    <row r="19" spans="1:10" ht="15" customHeight="1" x14ac:dyDescent="0.35">
      <c r="A19" s="351"/>
      <c r="B19" s="280" t="str">
        <f>'3. GSH'!B28</f>
        <v>HNB</v>
      </c>
      <c r="C19" s="420"/>
      <c r="D19" s="455"/>
      <c r="E19" s="452"/>
      <c r="F19" s="418"/>
      <c r="G19" s="454"/>
      <c r="H19" s="454"/>
      <c r="I19" s="452"/>
      <c r="J19" s="5"/>
    </row>
    <row r="20" spans="1:10" ht="15" customHeight="1" x14ac:dyDescent="0.35">
      <c r="A20" s="351"/>
      <c r="B20" s="280" t="str">
        <f>'3. GSH'!B29</f>
        <v>HNB</v>
      </c>
      <c r="C20" s="420"/>
      <c r="D20" s="455"/>
      <c r="E20" s="452"/>
      <c r="F20" s="418"/>
      <c r="G20" s="454"/>
      <c r="H20" s="454"/>
      <c r="I20" s="452"/>
      <c r="J20" s="5"/>
    </row>
    <row r="21" spans="1:10" ht="15" customHeight="1" x14ac:dyDescent="0.35">
      <c r="A21" s="351"/>
      <c r="B21" s="280" t="str">
        <f>'3. GSH'!B30</f>
        <v>HNB</v>
      </c>
      <c r="C21" s="420"/>
      <c r="D21" s="455"/>
      <c r="E21" s="452"/>
      <c r="F21" s="418"/>
      <c r="G21" s="454"/>
      <c r="H21" s="454"/>
      <c r="I21" s="452"/>
      <c r="J21" s="5"/>
    </row>
    <row r="22" spans="1:10" ht="15" customHeight="1" x14ac:dyDescent="0.35">
      <c r="A22" s="351"/>
      <c r="B22" s="280" t="str">
        <f>'3. GSH'!B31</f>
        <v>HNB</v>
      </c>
      <c r="C22" s="420"/>
      <c r="D22" s="455"/>
      <c r="E22" s="440"/>
      <c r="F22" s="418"/>
      <c r="G22" s="454"/>
      <c r="H22" s="454"/>
      <c r="I22" s="452"/>
      <c r="J22" s="5"/>
    </row>
    <row r="23" spans="1:10" ht="15" customHeight="1" x14ac:dyDescent="0.35">
      <c r="A23" s="351"/>
      <c r="B23" s="280" t="str">
        <f>'3. GSH'!B32</f>
        <v>BOC</v>
      </c>
      <c r="C23" s="420"/>
      <c r="D23" s="455"/>
      <c r="E23" s="440"/>
      <c r="F23" s="418"/>
      <c r="G23" s="454"/>
      <c r="H23" s="454"/>
      <c r="I23" s="452"/>
      <c r="J23" s="5"/>
    </row>
    <row r="24" spans="1:10" ht="29" customHeight="1" x14ac:dyDescent="0.35">
      <c r="A24" s="351"/>
      <c r="B24" s="280" t="str">
        <f>'3. GSH'!B33</f>
        <v>NDB Wealth</v>
      </c>
      <c r="C24" s="420"/>
      <c r="D24" s="455"/>
      <c r="E24" s="440"/>
      <c r="F24" s="418"/>
      <c r="G24" s="454"/>
      <c r="H24" s="454"/>
      <c r="I24" s="452"/>
      <c r="J24" s="5"/>
    </row>
    <row r="25" spans="1:10" ht="15" customHeight="1" x14ac:dyDescent="0.35">
      <c r="A25" s="353" t="s">
        <v>204</v>
      </c>
      <c r="B25" s="281" t="str">
        <f>'1 &amp; 3 GST'!B107</f>
        <v xml:space="preserve">HNB </v>
      </c>
      <c r="C25" s="420"/>
      <c r="D25" s="456"/>
      <c r="E25" s="441"/>
      <c r="F25" s="418"/>
      <c r="G25" s="457"/>
      <c r="H25" s="457"/>
      <c r="I25" s="458"/>
      <c r="J25" s="5"/>
    </row>
    <row r="26" spans="1:10" ht="15" customHeight="1" x14ac:dyDescent="0.35">
      <c r="A26" s="354"/>
      <c r="B26" s="281" t="str">
        <f>'1 &amp; 3 GST'!B108</f>
        <v xml:space="preserve">HNB </v>
      </c>
      <c r="C26" s="420"/>
      <c r="D26" s="456"/>
      <c r="E26" s="441"/>
      <c r="F26" s="418"/>
      <c r="G26" s="457"/>
      <c r="H26" s="457"/>
      <c r="I26" s="458"/>
      <c r="J26" s="5"/>
    </row>
    <row r="27" spans="1:10" x14ac:dyDescent="0.35">
      <c r="A27" s="355"/>
      <c r="B27" s="281" t="str">
        <f>'1 &amp; 3 GST'!B109</f>
        <v xml:space="preserve">HNB </v>
      </c>
      <c r="C27" s="420"/>
      <c r="D27" s="456"/>
      <c r="E27" s="441"/>
      <c r="F27" s="418"/>
      <c r="G27" s="457"/>
      <c r="H27" s="457"/>
      <c r="I27" s="458"/>
      <c r="J27" s="5"/>
    </row>
    <row r="28" spans="1:10" ht="15" customHeight="1" x14ac:dyDescent="0.35">
      <c r="A28" s="348" t="s">
        <v>286</v>
      </c>
      <c r="B28" s="282" t="str">
        <f>'1 &amp; 3 GS Ticketing'!B46</f>
        <v>NDB</v>
      </c>
      <c r="C28" s="420"/>
      <c r="D28" s="459"/>
      <c r="E28" s="441"/>
      <c r="F28" s="418"/>
      <c r="G28" s="454"/>
      <c r="H28" s="467"/>
      <c r="I28" s="460"/>
      <c r="J28" s="5"/>
    </row>
    <row r="29" spans="1:10" x14ac:dyDescent="0.35">
      <c r="A29" s="349"/>
      <c r="B29" s="282" t="str">
        <f>'1 &amp; 3 GS Ticketing'!B47</f>
        <v>NDB</v>
      </c>
      <c r="C29" s="420"/>
      <c r="D29" s="459"/>
      <c r="E29" s="441"/>
      <c r="F29" s="418"/>
      <c r="G29" s="454"/>
      <c r="H29" s="468"/>
      <c r="I29" s="461"/>
      <c r="J29" s="5"/>
    </row>
    <row r="30" spans="1:10" x14ac:dyDescent="0.35">
      <c r="A30" s="349"/>
      <c r="B30" s="282" t="str">
        <f>'1 &amp; 3 GS Ticketing'!B48</f>
        <v>NDB</v>
      </c>
      <c r="C30" s="420"/>
      <c r="D30" s="456"/>
      <c r="E30" s="441"/>
      <c r="F30" s="418"/>
      <c r="G30" s="454"/>
      <c r="H30" s="468"/>
      <c r="I30" s="461"/>
      <c r="J30" s="5"/>
    </row>
    <row r="31" spans="1:10" x14ac:dyDescent="0.35">
      <c r="A31" s="349"/>
      <c r="B31" s="282" t="str">
        <f>'1 &amp; 3 GS Ticketing'!B49</f>
        <v>NDB</v>
      </c>
      <c r="C31" s="420"/>
      <c r="D31" s="459"/>
      <c r="E31" s="441"/>
      <c r="F31" s="418"/>
      <c r="G31" s="454"/>
      <c r="H31" s="468"/>
      <c r="I31" s="461"/>
      <c r="J31" s="5"/>
    </row>
    <row r="32" spans="1:10" ht="29" x14ac:dyDescent="0.35">
      <c r="A32" s="349"/>
      <c r="B32" s="282" t="str">
        <f>'1 &amp; 3 GS Ticketing'!B50</f>
        <v>NDB - Big Saver</v>
      </c>
      <c r="C32" s="420"/>
      <c r="D32" s="459"/>
      <c r="E32" s="441"/>
      <c r="F32" s="454"/>
      <c r="G32" s="454"/>
      <c r="H32" s="469"/>
      <c r="I32" s="462"/>
      <c r="J32" s="5"/>
    </row>
    <row r="33" spans="1:10" x14ac:dyDescent="0.35">
      <c r="A33" s="349"/>
      <c r="B33" s="282" t="str">
        <f>'1 &amp; 3 GS Ticketing'!B51</f>
        <v>SB - CD</v>
      </c>
      <c r="C33" s="420"/>
      <c r="D33" s="459"/>
      <c r="E33" s="441"/>
      <c r="F33" s="454"/>
      <c r="G33" s="454"/>
      <c r="H33" s="454"/>
      <c r="I33" s="458"/>
      <c r="J33" s="5"/>
    </row>
    <row r="34" spans="1:10" ht="15" customHeight="1" x14ac:dyDescent="0.35">
      <c r="A34" s="349"/>
      <c r="B34" s="282" t="str">
        <f>'1 &amp; 3 GS Ticketing'!B52</f>
        <v>Cargills</v>
      </c>
      <c r="C34" s="420"/>
      <c r="D34" s="459"/>
      <c r="E34" s="441"/>
      <c r="F34" s="454"/>
      <c r="G34" s="454"/>
      <c r="H34" s="467"/>
      <c r="I34" s="460"/>
      <c r="J34" s="5"/>
    </row>
    <row r="35" spans="1:10" x14ac:dyDescent="0.35">
      <c r="A35" s="349"/>
      <c r="B35" s="282" t="str">
        <f>'1 &amp; 3 GS Ticketing'!B53</f>
        <v>Cargills</v>
      </c>
      <c r="C35" s="420"/>
      <c r="D35" s="459"/>
      <c r="E35" s="441"/>
      <c r="F35" s="454"/>
      <c r="G35" s="454"/>
      <c r="H35" s="468"/>
      <c r="I35" s="461"/>
      <c r="J35" s="5"/>
    </row>
    <row r="36" spans="1:10" x14ac:dyDescent="0.35">
      <c r="A36" s="350"/>
      <c r="B36" s="282" t="str">
        <f>'1 &amp; 3 GS Ticketing'!B54</f>
        <v>Cargills</v>
      </c>
      <c r="C36" s="420"/>
      <c r="D36" s="459"/>
      <c r="E36" s="441"/>
      <c r="F36" s="454"/>
      <c r="G36" s="454"/>
      <c r="H36" s="469"/>
      <c r="I36" s="462"/>
      <c r="J36" s="5"/>
    </row>
    <row r="37" spans="1:10" ht="15" customHeight="1" x14ac:dyDescent="0.35">
      <c r="A37" s="339" t="s">
        <v>76</v>
      </c>
      <c r="B37" s="340" t="s">
        <v>58</v>
      </c>
      <c r="C37" s="463"/>
      <c r="D37" s="464"/>
      <c r="E37" s="464"/>
      <c r="F37" s="465"/>
      <c r="G37" s="466"/>
      <c r="H37" s="466"/>
      <c r="I37" s="416"/>
      <c r="J37" s="5"/>
    </row>
    <row r="38" spans="1:10" x14ac:dyDescent="0.35">
      <c r="A38" s="339"/>
      <c r="B38" s="340"/>
      <c r="C38" s="463"/>
      <c r="D38" s="464"/>
      <c r="E38" s="464"/>
      <c r="F38" s="465"/>
      <c r="G38" s="466"/>
      <c r="H38" s="466"/>
      <c r="I38" s="416"/>
      <c r="J38" s="5"/>
    </row>
    <row r="39" spans="1:10" x14ac:dyDescent="0.35">
      <c r="A39" s="283" t="str">
        <f>'3. Citrus Group'!A34</f>
        <v>Citrus Leisure PLC</v>
      </c>
      <c r="B39" s="225" t="str">
        <f>'3. Citrus Group'!B34</f>
        <v>Sampath</v>
      </c>
      <c r="C39" s="463"/>
      <c r="D39" s="464"/>
      <c r="E39" s="464"/>
      <c r="F39" s="465"/>
      <c r="G39" s="466"/>
      <c r="H39" s="466"/>
      <c r="I39" s="416"/>
      <c r="J39" s="5"/>
    </row>
    <row r="40" spans="1:10" x14ac:dyDescent="0.35">
      <c r="C40" s="417"/>
      <c r="D40" s="417"/>
      <c r="E40" s="417"/>
      <c r="F40" s="417"/>
      <c r="G40" s="417"/>
      <c r="H40" s="417"/>
      <c r="I40" s="417"/>
    </row>
  </sheetData>
  <mergeCells count="8">
    <mergeCell ref="A4:A10"/>
    <mergeCell ref="I28:I32"/>
    <mergeCell ref="A28:A36"/>
    <mergeCell ref="I34:I36"/>
    <mergeCell ref="A11:A24"/>
    <mergeCell ref="A25:A27"/>
    <mergeCell ref="A37:A38"/>
    <mergeCell ref="B37:B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C9B6-76BA-4B26-B187-ADA98A9F323D}">
  <dimension ref="A1:L21"/>
  <sheetViews>
    <sheetView topLeftCell="A3" workbookViewId="0">
      <selection activeCell="K19" sqref="K19"/>
    </sheetView>
  </sheetViews>
  <sheetFormatPr defaultColWidth="9" defaultRowHeight="14.5" x14ac:dyDescent="0.35"/>
  <cols>
    <col min="1" max="1" width="9" style="288"/>
    <col min="2" max="2" width="20.81640625" style="288" customWidth="1"/>
    <col min="3" max="3" width="10.36328125" style="288" customWidth="1"/>
    <col min="4" max="4" width="27" style="288" customWidth="1"/>
    <col min="5" max="5" width="10.90625" style="288" customWidth="1"/>
    <col min="6" max="6" width="17.1796875" style="288" customWidth="1"/>
    <col min="7" max="7" width="14" style="288" customWidth="1"/>
    <col min="8" max="8" width="15" style="288" customWidth="1"/>
    <col min="9" max="9" width="17" style="288" customWidth="1"/>
    <col min="10" max="10" width="14" style="288" customWidth="1"/>
    <col min="11" max="11" width="12" style="288" customWidth="1"/>
    <col min="12" max="12" width="12.81640625" style="288" customWidth="1"/>
    <col min="13" max="16384" width="9" style="288"/>
  </cols>
  <sheetData>
    <row r="1" spans="1:12" ht="21" x14ac:dyDescent="0.35">
      <c r="A1" s="287" t="s">
        <v>0</v>
      </c>
    </row>
    <row r="2" spans="1:12" ht="16" x14ac:dyDescent="0.35">
      <c r="A2" s="289" t="s">
        <v>369</v>
      </c>
    </row>
    <row r="3" spans="1:12" ht="16" x14ac:dyDescent="0.35">
      <c r="A3" s="289"/>
    </row>
    <row r="4" spans="1:12" ht="48" x14ac:dyDescent="0.35">
      <c r="A4" s="290" t="s">
        <v>2</v>
      </c>
      <c r="B4" s="290" t="s">
        <v>3</v>
      </c>
      <c r="C4" s="290" t="s">
        <v>4</v>
      </c>
      <c r="D4" s="290" t="s">
        <v>5</v>
      </c>
      <c r="E4" s="290" t="s">
        <v>6</v>
      </c>
      <c r="F4" s="290" t="s">
        <v>370</v>
      </c>
      <c r="G4" s="290" t="s">
        <v>7</v>
      </c>
      <c r="H4" s="290" t="s">
        <v>8</v>
      </c>
      <c r="I4" s="290" t="s">
        <v>9</v>
      </c>
      <c r="J4" s="290" t="s">
        <v>10</v>
      </c>
      <c r="K4" s="290" t="s">
        <v>371</v>
      </c>
      <c r="L4" s="290" t="s">
        <v>372</v>
      </c>
    </row>
    <row r="5" spans="1:12" ht="16" x14ac:dyDescent="0.35">
      <c r="A5" s="291"/>
      <c r="B5" s="291"/>
      <c r="C5" s="291"/>
      <c r="D5" s="291"/>
      <c r="E5" s="291"/>
      <c r="F5" s="291"/>
      <c r="G5" s="291"/>
      <c r="H5" s="291"/>
      <c r="I5" s="291"/>
      <c r="J5" s="291"/>
    </row>
    <row r="6" spans="1:12" ht="16" x14ac:dyDescent="0.35">
      <c r="A6" s="291" t="s">
        <v>373</v>
      </c>
      <c r="B6" s="291" t="s">
        <v>374</v>
      </c>
      <c r="C6" s="291" t="s">
        <v>92</v>
      </c>
      <c r="D6" s="292" t="s">
        <v>375</v>
      </c>
      <c r="E6" s="291" t="s">
        <v>93</v>
      </c>
      <c r="F6" s="293">
        <v>882056.74999999802</v>
      </c>
      <c r="G6" s="293">
        <v>9350000</v>
      </c>
      <c r="H6" s="293">
        <f>8313012.38+615161.57</f>
        <v>8928173.9499999993</v>
      </c>
      <c r="I6" s="294">
        <f t="shared" ref="I6:I19" si="0">F6+G6-H6</f>
        <v>1303882.7999999989</v>
      </c>
      <c r="J6" s="293">
        <v>0</v>
      </c>
      <c r="K6" s="86">
        <f t="shared" ref="K6:K19" si="1">I6</f>
        <v>1303882.7999999989</v>
      </c>
    </row>
    <row r="7" spans="1:12" ht="16" x14ac:dyDescent="0.35">
      <c r="A7" s="291" t="s">
        <v>373</v>
      </c>
      <c r="B7" s="291" t="s">
        <v>374</v>
      </c>
      <c r="C7" s="291" t="s">
        <v>92</v>
      </c>
      <c r="D7" s="292" t="s">
        <v>376</v>
      </c>
      <c r="E7" s="291" t="s">
        <v>93</v>
      </c>
      <c r="F7" s="293">
        <v>5575441.7400000095</v>
      </c>
      <c r="G7" s="293">
        <v>19098155.690000001</v>
      </c>
      <c r="H7" s="293">
        <f>16495173.02+203440.96</f>
        <v>16698613.98</v>
      </c>
      <c r="I7" s="294">
        <f t="shared" si="0"/>
        <v>7974983.4500000104</v>
      </c>
      <c r="J7" s="293">
        <v>0</v>
      </c>
      <c r="K7" s="86">
        <f t="shared" si="1"/>
        <v>7974983.4500000104</v>
      </c>
    </row>
    <row r="8" spans="1:12" ht="16" x14ac:dyDescent="0.35">
      <c r="A8" s="291" t="s">
        <v>373</v>
      </c>
      <c r="B8" s="291" t="s">
        <v>374</v>
      </c>
      <c r="C8" s="291" t="s">
        <v>92</v>
      </c>
      <c r="D8" s="292" t="s">
        <v>377</v>
      </c>
      <c r="E8" s="291" t="s">
        <v>93</v>
      </c>
      <c r="F8" s="293">
        <v>100000</v>
      </c>
      <c r="G8" s="293">
        <v>0</v>
      </c>
      <c r="H8" s="293">
        <v>0</v>
      </c>
      <c r="I8" s="294">
        <f t="shared" si="0"/>
        <v>100000</v>
      </c>
      <c r="J8" s="293">
        <v>0</v>
      </c>
      <c r="K8" s="86">
        <f t="shared" si="1"/>
        <v>100000</v>
      </c>
    </row>
    <row r="9" spans="1:12" ht="16" x14ac:dyDescent="0.35">
      <c r="A9" s="291" t="s">
        <v>373</v>
      </c>
      <c r="B9" s="291" t="s">
        <v>98</v>
      </c>
      <c r="C9" s="291" t="s">
        <v>92</v>
      </c>
      <c r="D9" s="292" t="s">
        <v>378</v>
      </c>
      <c r="E9" s="291" t="s">
        <v>93</v>
      </c>
      <c r="F9" s="293">
        <v>16997896.010000002</v>
      </c>
      <c r="G9" s="293">
        <v>75425837</v>
      </c>
      <c r="H9" s="293">
        <v>92427683.359999999</v>
      </c>
      <c r="I9" s="294">
        <f t="shared" si="0"/>
        <v>-3950.3499999940395</v>
      </c>
      <c r="J9" s="293">
        <v>0</v>
      </c>
      <c r="K9" s="86">
        <v>0</v>
      </c>
    </row>
    <row r="10" spans="1:12" ht="16" x14ac:dyDescent="0.35">
      <c r="A10" s="291" t="s">
        <v>373</v>
      </c>
      <c r="B10" s="291" t="s">
        <v>98</v>
      </c>
      <c r="C10" s="291" t="s">
        <v>96</v>
      </c>
      <c r="D10" s="292" t="s">
        <v>379</v>
      </c>
      <c r="E10" s="291" t="s">
        <v>93</v>
      </c>
      <c r="F10" s="293">
        <v>3919244.57</v>
      </c>
      <c r="G10" s="293">
        <v>117454.18</v>
      </c>
      <c r="H10" s="293">
        <v>0</v>
      </c>
      <c r="I10" s="294">
        <f t="shared" si="0"/>
        <v>4036698.75</v>
      </c>
      <c r="J10" s="293">
        <f>I10</f>
        <v>4036698.75</v>
      </c>
      <c r="K10" s="86">
        <v>0</v>
      </c>
      <c r="L10" s="288" t="s">
        <v>380</v>
      </c>
    </row>
    <row r="11" spans="1:12" ht="16" x14ac:dyDescent="0.35">
      <c r="A11" s="295" t="s">
        <v>373</v>
      </c>
      <c r="B11" s="295" t="s">
        <v>98</v>
      </c>
      <c r="C11" s="295" t="s">
        <v>96</v>
      </c>
      <c r="D11" s="296" t="s">
        <v>381</v>
      </c>
      <c r="E11" s="295" t="s">
        <v>99</v>
      </c>
      <c r="F11" s="297">
        <v>0.38999999999941798</v>
      </c>
      <c r="G11" s="298">
        <v>0</v>
      </c>
      <c r="H11" s="298">
        <v>0</v>
      </c>
      <c r="I11" s="299">
        <f t="shared" si="0"/>
        <v>0.38999999999941798</v>
      </c>
      <c r="J11" s="298"/>
      <c r="K11" s="300">
        <f t="shared" si="1"/>
        <v>0.38999999999941798</v>
      </c>
    </row>
    <row r="12" spans="1:12" ht="16" x14ac:dyDescent="0.35">
      <c r="A12" s="291" t="s">
        <v>373</v>
      </c>
      <c r="B12" s="291" t="s">
        <v>245</v>
      </c>
      <c r="C12" s="291" t="s">
        <v>92</v>
      </c>
      <c r="D12" s="292" t="s">
        <v>382</v>
      </c>
      <c r="E12" s="291" t="s">
        <v>93</v>
      </c>
      <c r="F12" s="293">
        <v>2526090.79600009</v>
      </c>
      <c r="G12" s="293">
        <v>19530630.539999999</v>
      </c>
      <c r="H12" s="293">
        <v>40921456.770000003</v>
      </c>
      <c r="I12" s="294">
        <f t="shared" si="0"/>
        <v>-18864735.433999915</v>
      </c>
      <c r="J12" s="293">
        <v>0</v>
      </c>
      <c r="K12" s="79">
        <v>0</v>
      </c>
    </row>
    <row r="13" spans="1:12" ht="16" x14ac:dyDescent="0.35">
      <c r="A13" s="291" t="s">
        <v>373</v>
      </c>
      <c r="B13" s="291" t="s">
        <v>245</v>
      </c>
      <c r="C13" s="291" t="s">
        <v>96</v>
      </c>
      <c r="D13" s="292" t="s">
        <v>383</v>
      </c>
      <c r="E13" s="291" t="s">
        <v>93</v>
      </c>
      <c r="F13" s="293">
        <v>48710.41</v>
      </c>
      <c r="G13" s="293">
        <v>0</v>
      </c>
      <c r="H13" s="293">
        <v>100</v>
      </c>
      <c r="I13" s="294">
        <f t="shared" si="0"/>
        <v>48610.41</v>
      </c>
      <c r="J13" s="293">
        <v>0</v>
      </c>
      <c r="K13" s="86">
        <f>I13</f>
        <v>48610.41</v>
      </c>
    </row>
    <row r="14" spans="1:12" ht="16" x14ac:dyDescent="0.35">
      <c r="A14" s="291" t="s">
        <v>373</v>
      </c>
      <c r="B14" s="291" t="s">
        <v>245</v>
      </c>
      <c r="C14" s="291" t="s">
        <v>96</v>
      </c>
      <c r="D14" s="292" t="s">
        <v>384</v>
      </c>
      <c r="E14" s="291" t="s">
        <v>93</v>
      </c>
      <c r="F14" s="293">
        <v>33447161</v>
      </c>
      <c r="G14" s="293">
        <v>368401.67</v>
      </c>
      <c r="H14" s="293">
        <v>0</v>
      </c>
      <c r="I14" s="294">
        <f t="shared" si="0"/>
        <v>33815562.670000002</v>
      </c>
      <c r="J14" s="293">
        <f>I14</f>
        <v>33815562.670000002</v>
      </c>
      <c r="K14" s="86">
        <v>0</v>
      </c>
      <c r="L14" s="288" t="s">
        <v>380</v>
      </c>
    </row>
    <row r="15" spans="1:12" ht="16" x14ac:dyDescent="0.35">
      <c r="A15" s="291" t="s">
        <v>373</v>
      </c>
      <c r="B15" s="291" t="s">
        <v>100</v>
      </c>
      <c r="C15" s="291" t="s">
        <v>92</v>
      </c>
      <c r="D15" s="292" t="s">
        <v>385</v>
      </c>
      <c r="E15" s="291" t="s">
        <v>93</v>
      </c>
      <c r="F15" s="293">
        <v>243017.26</v>
      </c>
      <c r="G15" s="293">
        <v>0</v>
      </c>
      <c r="H15" s="293">
        <f>35208.36+2050-6320.88</f>
        <v>30937.48</v>
      </c>
      <c r="I15" s="294">
        <f t="shared" si="0"/>
        <v>212079.78</v>
      </c>
      <c r="J15" s="293">
        <v>0</v>
      </c>
      <c r="K15" s="86">
        <f>I15</f>
        <v>212079.78</v>
      </c>
    </row>
    <row r="16" spans="1:12" ht="16" x14ac:dyDescent="0.35">
      <c r="A16" s="291" t="s">
        <v>373</v>
      </c>
      <c r="B16" s="291" t="s">
        <v>100</v>
      </c>
      <c r="C16" s="291" t="s">
        <v>92</v>
      </c>
      <c r="D16" s="292" t="s">
        <v>386</v>
      </c>
      <c r="E16" s="291" t="s">
        <v>93</v>
      </c>
      <c r="F16" s="293">
        <v>238594.69</v>
      </c>
      <c r="G16" s="293">
        <v>0</v>
      </c>
      <c r="H16" s="293">
        <v>22562.05</v>
      </c>
      <c r="I16" s="294">
        <f t="shared" si="0"/>
        <v>216032.64000000001</v>
      </c>
      <c r="J16" s="293"/>
      <c r="K16" s="86">
        <f>I16</f>
        <v>216032.64000000001</v>
      </c>
    </row>
    <row r="17" spans="1:12" ht="16" x14ac:dyDescent="0.35">
      <c r="A17" s="291" t="s">
        <v>373</v>
      </c>
      <c r="B17" s="291" t="s">
        <v>387</v>
      </c>
      <c r="C17" s="291" t="s">
        <v>92</v>
      </c>
      <c r="D17" s="292" t="s">
        <v>388</v>
      </c>
      <c r="E17" s="291" t="s">
        <v>93</v>
      </c>
      <c r="F17" s="293">
        <v>-0.23999999999796301</v>
      </c>
      <c r="G17" s="293">
        <v>0</v>
      </c>
      <c r="H17" s="293">
        <v>0</v>
      </c>
      <c r="I17" s="294">
        <f t="shared" si="0"/>
        <v>-0.23999999999796301</v>
      </c>
      <c r="J17" s="293">
        <v>0</v>
      </c>
      <c r="K17" s="86">
        <f>I17</f>
        <v>-0.23999999999796301</v>
      </c>
      <c r="L17" s="288" t="s">
        <v>389</v>
      </c>
    </row>
    <row r="18" spans="1:12" ht="16" x14ac:dyDescent="0.35">
      <c r="A18" s="291" t="s">
        <v>373</v>
      </c>
      <c r="B18" s="291" t="s">
        <v>103</v>
      </c>
      <c r="C18" s="291" t="s">
        <v>92</v>
      </c>
      <c r="D18" s="292" t="s">
        <v>390</v>
      </c>
      <c r="E18" s="291" t="s">
        <v>93</v>
      </c>
      <c r="F18" s="293">
        <v>98800</v>
      </c>
      <c r="G18" s="293">
        <v>0</v>
      </c>
      <c r="H18" s="293">
        <v>0</v>
      </c>
      <c r="I18" s="294">
        <f t="shared" si="0"/>
        <v>98800</v>
      </c>
      <c r="J18" s="293">
        <v>0</v>
      </c>
      <c r="K18" s="86">
        <f t="shared" si="1"/>
        <v>98800</v>
      </c>
      <c r="L18" s="288" t="s">
        <v>391</v>
      </c>
    </row>
    <row r="19" spans="1:12" ht="16" x14ac:dyDescent="0.35">
      <c r="A19" s="291" t="s">
        <v>373</v>
      </c>
      <c r="B19" s="291" t="s">
        <v>392</v>
      </c>
      <c r="C19" s="291" t="s">
        <v>92</v>
      </c>
      <c r="D19" s="292" t="s">
        <v>393</v>
      </c>
      <c r="E19" s="291" t="s">
        <v>93</v>
      </c>
      <c r="F19" s="293">
        <v>132302</v>
      </c>
      <c r="G19" s="293">
        <v>0</v>
      </c>
      <c r="H19" s="293">
        <v>0</v>
      </c>
      <c r="I19" s="294">
        <f t="shared" si="0"/>
        <v>132302</v>
      </c>
      <c r="J19" s="293">
        <v>0</v>
      </c>
      <c r="K19" s="86">
        <f t="shared" si="1"/>
        <v>132302</v>
      </c>
      <c r="L19" s="288" t="s">
        <v>391</v>
      </c>
    </row>
    <row r="20" spans="1:12" ht="16" x14ac:dyDescent="0.35">
      <c r="F20" s="293"/>
      <c r="G20" s="293"/>
      <c r="H20" s="293"/>
      <c r="I20" s="293"/>
      <c r="J20" s="293"/>
      <c r="K20" s="86"/>
    </row>
    <row r="21" spans="1:12" x14ac:dyDescent="0.35">
      <c r="I21" s="7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8811-642F-4A35-960C-994B4EDC838F}">
  <dimension ref="A2:T138"/>
  <sheetViews>
    <sheetView topLeftCell="A122" workbookViewId="0">
      <selection activeCell="D106" sqref="D106"/>
    </sheetView>
  </sheetViews>
  <sheetFormatPr defaultColWidth="9" defaultRowHeight="14.5" x14ac:dyDescent="0.35"/>
  <cols>
    <col min="1" max="6" width="14.08984375" style="288" customWidth="1"/>
    <col min="7" max="7" width="16.81640625" style="288" customWidth="1"/>
    <col min="8" max="9" width="14.08984375" style="288" customWidth="1"/>
    <col min="10" max="16384" width="9" style="288"/>
  </cols>
  <sheetData>
    <row r="2" spans="1:20" ht="21" x14ac:dyDescent="0.35">
      <c r="A2" s="287" t="s">
        <v>33</v>
      </c>
    </row>
    <row r="4" spans="1:20" x14ac:dyDescent="0.35">
      <c r="A4" s="301" t="s">
        <v>34</v>
      </c>
      <c r="B4" s="302"/>
      <c r="C4" s="303"/>
      <c r="D4" s="304"/>
      <c r="E4" s="10"/>
      <c r="F4" s="302"/>
      <c r="G4" s="303"/>
      <c r="H4" s="305"/>
      <c r="I4" s="12"/>
    </row>
    <row r="5" spans="1:20" ht="29" x14ac:dyDescent="0.35">
      <c r="A5" s="306" t="s">
        <v>35</v>
      </c>
      <c r="B5" s="307" t="s">
        <v>3</v>
      </c>
      <c r="C5" s="307" t="s">
        <v>36</v>
      </c>
      <c r="D5" s="307" t="s">
        <v>37</v>
      </c>
      <c r="E5" s="15" t="s">
        <v>38</v>
      </c>
      <c r="F5" s="308" t="s">
        <v>39</v>
      </c>
      <c r="G5" s="308" t="s">
        <v>40</v>
      </c>
      <c r="H5" s="308" t="s">
        <v>41</v>
      </c>
      <c r="I5" s="15" t="s">
        <v>394</v>
      </c>
    </row>
    <row r="7" spans="1:20" x14ac:dyDescent="0.35">
      <c r="A7" s="288" t="s">
        <v>373</v>
      </c>
      <c r="B7" s="288" t="s">
        <v>395</v>
      </c>
      <c r="C7" s="288" t="s">
        <v>396</v>
      </c>
      <c r="E7" s="86">
        <v>0</v>
      </c>
      <c r="G7" s="309">
        <v>0</v>
      </c>
      <c r="I7" s="310">
        <v>46112</v>
      </c>
    </row>
    <row r="8" spans="1:20" x14ac:dyDescent="0.35">
      <c r="A8" s="288" t="s">
        <v>373</v>
      </c>
      <c r="B8" s="288" t="s">
        <v>397</v>
      </c>
      <c r="C8" s="288" t="s">
        <v>396</v>
      </c>
      <c r="E8" s="86">
        <v>15000000</v>
      </c>
      <c r="G8" s="311">
        <v>0.1075</v>
      </c>
      <c r="I8" s="312"/>
    </row>
    <row r="11" spans="1:20" x14ac:dyDescent="0.35">
      <c r="A11" s="301" t="s">
        <v>43</v>
      </c>
      <c r="B11" s="313"/>
      <c r="C11" s="314"/>
      <c r="D11" s="301"/>
      <c r="E11" s="19"/>
      <c r="F11" s="313"/>
      <c r="G11" s="314"/>
    </row>
    <row r="12" spans="1:20" ht="43.5" x14ac:dyDescent="0.35">
      <c r="A12" s="306" t="s">
        <v>35</v>
      </c>
      <c r="B12" s="307" t="s">
        <v>3</v>
      </c>
      <c r="C12" s="307" t="s">
        <v>44</v>
      </c>
      <c r="D12" s="307" t="s">
        <v>37</v>
      </c>
      <c r="E12" s="15" t="s">
        <v>45</v>
      </c>
      <c r="F12" s="307" t="s">
        <v>46</v>
      </c>
      <c r="G12" s="308" t="s">
        <v>398</v>
      </c>
    </row>
    <row r="13" spans="1:20" x14ac:dyDescent="0.35">
      <c r="A13" s="315"/>
      <c r="B13" s="316"/>
      <c r="C13" s="316"/>
      <c r="D13" s="316"/>
      <c r="E13" s="317"/>
      <c r="F13" s="316"/>
      <c r="G13" s="318"/>
    </row>
    <row r="14" spans="1:20" x14ac:dyDescent="0.35">
      <c r="A14" s="319" t="s">
        <v>373</v>
      </c>
      <c r="B14" s="320" t="s">
        <v>245</v>
      </c>
      <c r="C14" s="320" t="s">
        <v>399</v>
      </c>
      <c r="D14" s="320">
        <v>150</v>
      </c>
      <c r="E14" s="321">
        <v>5413947</v>
      </c>
      <c r="F14" s="322">
        <v>9.8699999999999996E-2</v>
      </c>
      <c r="G14" s="323">
        <v>5413947</v>
      </c>
      <c r="H14" s="324"/>
      <c r="J14" s="325"/>
    </row>
    <row r="15" spans="1:20" x14ac:dyDescent="0.35">
      <c r="A15" s="319" t="s">
        <v>373</v>
      </c>
      <c r="B15" s="320" t="s">
        <v>245</v>
      </c>
      <c r="C15" s="320" t="s">
        <v>399</v>
      </c>
      <c r="D15" s="320">
        <v>150</v>
      </c>
      <c r="E15" s="321">
        <v>9052095</v>
      </c>
      <c r="F15" s="322">
        <v>9.8699999999999996E-2</v>
      </c>
      <c r="G15" s="323">
        <v>9052095</v>
      </c>
      <c r="H15" s="324"/>
      <c r="M15" s="325"/>
      <c r="P15" s="326"/>
      <c r="Q15" s="326"/>
      <c r="R15" s="326"/>
      <c r="T15" s="325"/>
    </row>
    <row r="16" spans="1:20" x14ac:dyDescent="0.35">
      <c r="A16" s="319" t="s">
        <v>373</v>
      </c>
      <c r="B16" s="320" t="s">
        <v>245</v>
      </c>
      <c r="C16" s="320" t="s">
        <v>399</v>
      </c>
      <c r="D16" s="320">
        <v>150</v>
      </c>
      <c r="E16" s="321">
        <v>135033.92000000001</v>
      </c>
      <c r="F16" s="322">
        <v>0.1037</v>
      </c>
      <c r="G16" s="323">
        <v>135033.92000000001</v>
      </c>
      <c r="H16" s="324"/>
      <c r="M16" s="325"/>
      <c r="P16" s="326"/>
      <c r="Q16" s="326"/>
      <c r="R16" s="326"/>
      <c r="T16" s="325"/>
    </row>
    <row r="17" spans="1:20" x14ac:dyDescent="0.35">
      <c r="A17" s="319" t="s">
        <v>373</v>
      </c>
      <c r="B17" s="320" t="s">
        <v>245</v>
      </c>
      <c r="C17" s="320" t="s">
        <v>399</v>
      </c>
      <c r="D17" s="320">
        <v>150</v>
      </c>
      <c r="E17" s="321">
        <v>107208.75</v>
      </c>
      <c r="F17" s="322">
        <v>0.1037</v>
      </c>
      <c r="G17" s="323">
        <v>107208.75</v>
      </c>
      <c r="H17" s="324"/>
      <c r="M17" s="325"/>
      <c r="P17" s="326"/>
      <c r="Q17" s="326"/>
      <c r="R17" s="326"/>
      <c r="T17" s="325"/>
    </row>
    <row r="18" spans="1:20" x14ac:dyDescent="0.35">
      <c r="A18" s="319" t="s">
        <v>373</v>
      </c>
      <c r="B18" s="320" t="s">
        <v>245</v>
      </c>
      <c r="C18" s="320" t="s">
        <v>399</v>
      </c>
      <c r="D18" s="320">
        <v>150</v>
      </c>
      <c r="E18" s="321">
        <v>9904963.0999999996</v>
      </c>
      <c r="F18" s="322">
        <v>0.1037</v>
      </c>
      <c r="G18" s="323">
        <v>9904963.0999999996</v>
      </c>
      <c r="H18" s="324"/>
      <c r="M18" s="325"/>
      <c r="P18" s="326"/>
      <c r="Q18" s="326"/>
      <c r="R18" s="326"/>
      <c r="T18" s="325"/>
    </row>
    <row r="19" spans="1:20" x14ac:dyDescent="0.35">
      <c r="A19" s="319" t="s">
        <v>373</v>
      </c>
      <c r="B19" s="320" t="s">
        <v>245</v>
      </c>
      <c r="C19" s="320" t="s">
        <v>399</v>
      </c>
      <c r="D19" s="320">
        <v>150</v>
      </c>
      <c r="E19" s="321">
        <v>1341770</v>
      </c>
      <c r="F19" s="322">
        <v>0.1037</v>
      </c>
      <c r="G19" s="323">
        <v>1341770</v>
      </c>
      <c r="H19" s="324"/>
      <c r="I19" s="327"/>
      <c r="M19" s="325"/>
      <c r="P19" s="326"/>
      <c r="Q19" s="326"/>
      <c r="R19" s="326"/>
      <c r="T19" s="325"/>
    </row>
    <row r="20" spans="1:20" x14ac:dyDescent="0.35">
      <c r="A20" s="319" t="s">
        <v>373</v>
      </c>
      <c r="B20" s="320" t="s">
        <v>245</v>
      </c>
      <c r="C20" s="320" t="s">
        <v>399</v>
      </c>
      <c r="D20" s="320">
        <v>150</v>
      </c>
      <c r="E20" s="321">
        <v>92839</v>
      </c>
      <c r="F20" s="322">
        <v>0.1037</v>
      </c>
      <c r="G20" s="323">
        <v>92839</v>
      </c>
      <c r="H20" s="324"/>
      <c r="I20" s="327"/>
      <c r="M20" s="325"/>
      <c r="P20" s="326"/>
      <c r="Q20" s="326"/>
      <c r="R20" s="326"/>
      <c r="T20" s="325"/>
    </row>
    <row r="21" spans="1:20" x14ac:dyDescent="0.35">
      <c r="A21" s="319" t="s">
        <v>373</v>
      </c>
      <c r="B21" s="320" t="s">
        <v>245</v>
      </c>
      <c r="C21" s="320" t="s">
        <v>399</v>
      </c>
      <c r="D21" s="320">
        <v>150</v>
      </c>
      <c r="E21" s="321">
        <v>3905304</v>
      </c>
      <c r="F21" s="322">
        <v>0.1037</v>
      </c>
      <c r="G21" s="323">
        <v>3905304</v>
      </c>
      <c r="H21" s="324"/>
      <c r="I21" s="327"/>
      <c r="M21" s="325"/>
      <c r="P21" s="326"/>
      <c r="Q21" s="326"/>
      <c r="R21" s="326"/>
      <c r="T21" s="325"/>
    </row>
    <row r="22" spans="1:20" x14ac:dyDescent="0.35">
      <c r="A22" s="319" t="s">
        <v>373</v>
      </c>
      <c r="B22" s="320" t="s">
        <v>245</v>
      </c>
      <c r="C22" s="320" t="s">
        <v>399</v>
      </c>
      <c r="D22" s="320">
        <v>150</v>
      </c>
      <c r="E22" s="321">
        <v>91555</v>
      </c>
      <c r="F22" s="322">
        <v>0.1037</v>
      </c>
      <c r="G22" s="328">
        <v>91555</v>
      </c>
      <c r="H22" s="324"/>
      <c r="I22" s="327"/>
      <c r="M22" s="325"/>
      <c r="P22" s="326"/>
      <c r="Q22" s="326"/>
      <c r="R22" s="326"/>
      <c r="T22" s="325"/>
    </row>
    <row r="23" spans="1:20" x14ac:dyDescent="0.35">
      <c r="A23" s="315"/>
      <c r="B23" s="316"/>
      <c r="C23" s="316"/>
      <c r="D23" s="316"/>
      <c r="E23" s="317"/>
      <c r="F23" s="316"/>
      <c r="G23" s="318"/>
    </row>
    <row r="24" spans="1:20" x14ac:dyDescent="0.35">
      <c r="A24" s="315" t="s">
        <v>373</v>
      </c>
      <c r="B24" s="320" t="s">
        <v>98</v>
      </c>
      <c r="C24" s="320" t="s">
        <v>399</v>
      </c>
      <c r="D24" s="320">
        <v>270</v>
      </c>
      <c r="E24" s="321">
        <v>249913</v>
      </c>
      <c r="F24" s="322">
        <v>9.8199999999999996E-2</v>
      </c>
      <c r="G24" s="329">
        <v>249913</v>
      </c>
      <c r="I24" s="330"/>
    </row>
    <row r="25" spans="1:20" x14ac:dyDescent="0.35">
      <c r="A25" s="315" t="s">
        <v>373</v>
      </c>
      <c r="B25" s="320" t="s">
        <v>98</v>
      </c>
      <c r="C25" s="320" t="s">
        <v>399</v>
      </c>
      <c r="D25" s="320">
        <v>270</v>
      </c>
      <c r="E25" s="321">
        <v>4904099</v>
      </c>
      <c r="F25" s="322">
        <v>9.8199999999999996E-2</v>
      </c>
      <c r="G25" s="329">
        <v>4904099</v>
      </c>
      <c r="I25" s="330"/>
    </row>
    <row r="26" spans="1:20" x14ac:dyDescent="0.35">
      <c r="A26" s="315" t="s">
        <v>373</v>
      </c>
      <c r="B26" s="320" t="s">
        <v>98</v>
      </c>
      <c r="C26" s="320" t="s">
        <v>399</v>
      </c>
      <c r="D26" s="320">
        <v>270</v>
      </c>
      <c r="E26" s="321">
        <v>12438800</v>
      </c>
      <c r="F26" s="322">
        <v>9.8199999999999996E-2</v>
      </c>
      <c r="G26" s="329">
        <v>12438800</v>
      </c>
      <c r="I26" s="330"/>
    </row>
    <row r="27" spans="1:20" x14ac:dyDescent="0.35">
      <c r="A27" s="315" t="s">
        <v>373</v>
      </c>
      <c r="B27" s="320" t="s">
        <v>98</v>
      </c>
      <c r="C27" s="320" t="s">
        <v>399</v>
      </c>
      <c r="D27" s="320">
        <v>270</v>
      </c>
      <c r="E27" s="321">
        <v>10416285</v>
      </c>
      <c r="F27" s="322">
        <v>9.8199999999999996E-2</v>
      </c>
      <c r="G27" s="329">
        <v>10416285</v>
      </c>
      <c r="I27" s="330"/>
    </row>
    <row r="28" spans="1:20" x14ac:dyDescent="0.35">
      <c r="A28" s="315" t="s">
        <v>373</v>
      </c>
      <c r="B28" s="320" t="s">
        <v>98</v>
      </c>
      <c r="C28" s="320" t="s">
        <v>399</v>
      </c>
      <c r="D28" s="320">
        <v>270</v>
      </c>
      <c r="E28" s="321">
        <v>304263.75</v>
      </c>
      <c r="F28" s="322">
        <v>9.8599999999999993E-2</v>
      </c>
      <c r="G28" s="329">
        <v>304263.75</v>
      </c>
      <c r="I28" s="330"/>
    </row>
    <row r="29" spans="1:20" x14ac:dyDescent="0.35">
      <c r="A29" s="315" t="s">
        <v>373</v>
      </c>
      <c r="B29" s="320" t="s">
        <v>98</v>
      </c>
      <c r="C29" s="320" t="s">
        <v>399</v>
      </c>
      <c r="D29" s="320">
        <v>270</v>
      </c>
      <c r="E29" s="321">
        <v>1452342.3</v>
      </c>
      <c r="F29" s="322">
        <v>9.9400000000000002E-2</v>
      </c>
      <c r="G29" s="329">
        <v>1452342.3</v>
      </c>
      <c r="I29" s="330"/>
    </row>
    <row r="30" spans="1:20" x14ac:dyDescent="0.35">
      <c r="A30" s="315" t="s">
        <v>373</v>
      </c>
      <c r="B30" s="320" t="s">
        <v>98</v>
      </c>
      <c r="C30" s="320" t="s">
        <v>399</v>
      </c>
      <c r="D30" s="320">
        <v>270</v>
      </c>
      <c r="E30" s="321">
        <v>1447930</v>
      </c>
      <c r="F30" s="322">
        <v>9.9400000000000002E-2</v>
      </c>
      <c r="G30" s="329">
        <v>1447930</v>
      </c>
      <c r="I30" s="330"/>
    </row>
    <row r="31" spans="1:20" x14ac:dyDescent="0.35">
      <c r="A31" s="315" t="s">
        <v>373</v>
      </c>
      <c r="B31" s="320" t="s">
        <v>98</v>
      </c>
      <c r="C31" s="320" t="s">
        <v>399</v>
      </c>
      <c r="D31" s="320">
        <v>270</v>
      </c>
      <c r="E31" s="321">
        <v>34902.5</v>
      </c>
      <c r="F31" s="322">
        <v>9.9400000000000002E-2</v>
      </c>
      <c r="G31" s="329">
        <v>34902.5</v>
      </c>
      <c r="I31" s="330"/>
    </row>
    <row r="32" spans="1:20" x14ac:dyDescent="0.35">
      <c r="A32" s="315" t="s">
        <v>373</v>
      </c>
      <c r="B32" s="320" t="s">
        <v>98</v>
      </c>
      <c r="C32" s="320" t="s">
        <v>399</v>
      </c>
      <c r="D32" s="320">
        <v>270</v>
      </c>
      <c r="E32" s="321">
        <v>559678</v>
      </c>
      <c r="F32" s="322">
        <v>9.9400000000000002E-2</v>
      </c>
      <c r="G32" s="329">
        <v>559678</v>
      </c>
      <c r="I32" s="330"/>
    </row>
    <row r="33" spans="1:9" x14ac:dyDescent="0.35">
      <c r="A33" s="315" t="s">
        <v>373</v>
      </c>
      <c r="B33" s="320" t="s">
        <v>98</v>
      </c>
      <c r="C33" s="320" t="s">
        <v>399</v>
      </c>
      <c r="D33" s="320">
        <v>270</v>
      </c>
      <c r="E33" s="321">
        <v>243215.6</v>
      </c>
      <c r="F33" s="322">
        <v>9.9400000000000002E-2</v>
      </c>
      <c r="G33" s="329">
        <v>243215.6</v>
      </c>
      <c r="I33" s="330"/>
    </row>
    <row r="34" spans="1:9" x14ac:dyDescent="0.35">
      <c r="A34" s="315" t="s">
        <v>373</v>
      </c>
      <c r="B34" s="320" t="s">
        <v>98</v>
      </c>
      <c r="C34" s="320" t="s">
        <v>399</v>
      </c>
      <c r="D34" s="320">
        <v>270</v>
      </c>
      <c r="E34" s="321">
        <v>178279</v>
      </c>
      <c r="F34" s="322">
        <v>9.9400000000000002E-2</v>
      </c>
      <c r="G34" s="329">
        <v>178279</v>
      </c>
      <c r="I34" s="330"/>
    </row>
    <row r="35" spans="1:9" x14ac:dyDescent="0.35">
      <c r="A35" s="315" t="s">
        <v>373</v>
      </c>
      <c r="B35" s="320" t="s">
        <v>98</v>
      </c>
      <c r="C35" s="320" t="s">
        <v>399</v>
      </c>
      <c r="D35" s="320">
        <v>270</v>
      </c>
      <c r="E35" s="321">
        <v>2302633.7999999998</v>
      </c>
      <c r="F35" s="322">
        <v>9.9400000000000002E-2</v>
      </c>
      <c r="G35" s="329">
        <v>2302633.7999999998</v>
      </c>
      <c r="I35" s="330"/>
    </row>
    <row r="36" spans="1:9" x14ac:dyDescent="0.35">
      <c r="A36" s="315" t="s">
        <v>373</v>
      </c>
      <c r="B36" s="320" t="s">
        <v>98</v>
      </c>
      <c r="C36" s="320" t="s">
        <v>399</v>
      </c>
      <c r="D36" s="320">
        <v>270</v>
      </c>
      <c r="E36" s="321">
        <v>1431280.8</v>
      </c>
      <c r="F36" s="322">
        <v>9.9400000000000002E-2</v>
      </c>
      <c r="G36" s="329">
        <v>1431280.8</v>
      </c>
      <c r="I36" s="330"/>
    </row>
    <row r="37" spans="1:9" x14ac:dyDescent="0.35">
      <c r="A37" s="315" t="s">
        <v>373</v>
      </c>
      <c r="B37" s="320" t="s">
        <v>98</v>
      </c>
      <c r="C37" s="320" t="s">
        <v>399</v>
      </c>
      <c r="D37" s="320">
        <v>270</v>
      </c>
      <c r="E37" s="321">
        <v>3356914.4</v>
      </c>
      <c r="F37" s="322">
        <v>0.111</v>
      </c>
      <c r="G37" s="329">
        <v>3356914.4</v>
      </c>
      <c r="I37" s="330"/>
    </row>
    <row r="38" spans="1:9" x14ac:dyDescent="0.35">
      <c r="A38" s="315" t="s">
        <v>373</v>
      </c>
      <c r="B38" s="320" t="s">
        <v>98</v>
      </c>
      <c r="C38" s="320" t="s">
        <v>399</v>
      </c>
      <c r="D38" s="320">
        <v>270</v>
      </c>
      <c r="E38" s="321">
        <v>1432379.75</v>
      </c>
      <c r="F38" s="322">
        <v>0.1111</v>
      </c>
      <c r="G38" s="329">
        <v>1432379.75</v>
      </c>
      <c r="I38" s="330"/>
    </row>
    <row r="39" spans="1:9" x14ac:dyDescent="0.35">
      <c r="A39" s="315" t="s">
        <v>373</v>
      </c>
      <c r="B39" s="320" t="s">
        <v>98</v>
      </c>
      <c r="C39" s="320" t="s">
        <v>399</v>
      </c>
      <c r="D39" s="320">
        <v>270</v>
      </c>
      <c r="E39" s="321">
        <v>11627756</v>
      </c>
      <c r="F39" s="322">
        <v>0.11609999999999999</v>
      </c>
      <c r="G39" s="329">
        <v>11627756</v>
      </c>
      <c r="I39" s="330"/>
    </row>
    <row r="40" spans="1:9" x14ac:dyDescent="0.35">
      <c r="A40" s="315" t="s">
        <v>373</v>
      </c>
      <c r="B40" s="320" t="s">
        <v>98</v>
      </c>
      <c r="C40" s="320" t="s">
        <v>399</v>
      </c>
      <c r="D40" s="320">
        <v>270</v>
      </c>
      <c r="E40" s="321">
        <v>9297467.8000000007</v>
      </c>
      <c r="F40" s="322">
        <v>0.11609999999999999</v>
      </c>
      <c r="G40" s="329">
        <v>9297467.8000000007</v>
      </c>
      <c r="I40" s="330"/>
    </row>
    <row r="41" spans="1:9" x14ac:dyDescent="0.35">
      <c r="A41" s="315" t="s">
        <v>373</v>
      </c>
      <c r="B41" s="320" t="s">
        <v>98</v>
      </c>
      <c r="C41" s="320" t="s">
        <v>399</v>
      </c>
      <c r="D41" s="320">
        <v>270</v>
      </c>
      <c r="E41" s="321">
        <v>11941029.6</v>
      </c>
      <c r="F41" s="322">
        <v>0.11609999999999999</v>
      </c>
      <c r="G41" s="329">
        <v>11941029.6</v>
      </c>
      <c r="I41" s="330"/>
    </row>
    <row r="42" spans="1:9" x14ac:dyDescent="0.35">
      <c r="A42" s="315" t="s">
        <v>373</v>
      </c>
      <c r="B42" s="320" t="s">
        <v>98</v>
      </c>
      <c r="C42" s="320" t="s">
        <v>399</v>
      </c>
      <c r="D42" s="320">
        <v>270</v>
      </c>
      <c r="E42" s="321">
        <v>3377665</v>
      </c>
      <c r="F42" s="322">
        <v>0.1154</v>
      </c>
      <c r="G42" s="329">
        <v>3377665</v>
      </c>
      <c r="I42" s="330"/>
    </row>
    <row r="43" spans="1:9" x14ac:dyDescent="0.35">
      <c r="A43" s="315" t="s">
        <v>373</v>
      </c>
      <c r="B43" s="320" t="s">
        <v>98</v>
      </c>
      <c r="C43" s="320" t="s">
        <v>399</v>
      </c>
      <c r="D43" s="320">
        <v>270</v>
      </c>
      <c r="E43" s="321">
        <v>48678</v>
      </c>
      <c r="F43" s="322">
        <v>0.1138</v>
      </c>
      <c r="G43" s="329">
        <v>48678</v>
      </c>
      <c r="I43" s="330"/>
    </row>
    <row r="44" spans="1:9" x14ac:dyDescent="0.35">
      <c r="A44" s="315" t="s">
        <v>373</v>
      </c>
      <c r="B44" s="320" t="s">
        <v>98</v>
      </c>
      <c r="C44" s="320" t="s">
        <v>399</v>
      </c>
      <c r="D44" s="320">
        <v>270</v>
      </c>
      <c r="E44" s="321">
        <v>1222661</v>
      </c>
      <c r="F44" s="322">
        <v>0.1138</v>
      </c>
      <c r="G44" s="329">
        <v>1222661</v>
      </c>
      <c r="I44" s="330"/>
    </row>
    <row r="45" spans="1:9" x14ac:dyDescent="0.35">
      <c r="A45" s="315" t="s">
        <v>373</v>
      </c>
      <c r="B45" s="320" t="s">
        <v>98</v>
      </c>
      <c r="C45" s="320" t="s">
        <v>399</v>
      </c>
      <c r="D45" s="320">
        <v>270</v>
      </c>
      <c r="E45" s="321">
        <v>530316</v>
      </c>
      <c r="F45" s="322">
        <v>0.1138</v>
      </c>
      <c r="G45" s="329">
        <v>530316</v>
      </c>
      <c r="I45" s="330"/>
    </row>
    <row r="46" spans="1:9" x14ac:dyDescent="0.35">
      <c r="A46" s="315"/>
      <c r="B46" s="320"/>
      <c r="C46" s="320"/>
      <c r="D46" s="316"/>
      <c r="E46" s="321"/>
      <c r="F46" s="322"/>
      <c r="G46" s="329"/>
    </row>
    <row r="47" spans="1:9" x14ac:dyDescent="0.35">
      <c r="A47" s="315" t="s">
        <v>373</v>
      </c>
      <c r="B47" s="320" t="s">
        <v>98</v>
      </c>
      <c r="C47" s="320" t="s">
        <v>400</v>
      </c>
      <c r="D47" s="320">
        <v>270</v>
      </c>
      <c r="E47" s="321">
        <v>347000</v>
      </c>
      <c r="F47" s="322">
        <v>9.8100000000000007E-2</v>
      </c>
      <c r="G47" s="329">
        <v>347000</v>
      </c>
      <c r="I47" s="330"/>
    </row>
    <row r="48" spans="1:9" x14ac:dyDescent="0.35">
      <c r="A48" s="315" t="s">
        <v>373</v>
      </c>
      <c r="B48" s="320" t="s">
        <v>98</v>
      </c>
      <c r="C48" s="320" t="s">
        <v>400</v>
      </c>
      <c r="D48" s="320">
        <v>270</v>
      </c>
      <c r="E48" s="321">
        <v>582705.1</v>
      </c>
      <c r="F48" s="322">
        <v>9.8100000000000007E-2</v>
      </c>
      <c r="G48" s="329">
        <v>582705.1</v>
      </c>
      <c r="I48" s="330"/>
    </row>
    <row r="49" spans="1:9" x14ac:dyDescent="0.35">
      <c r="A49" s="315" t="s">
        <v>373</v>
      </c>
      <c r="B49" s="320" t="s">
        <v>98</v>
      </c>
      <c r="C49" s="320" t="s">
        <v>400</v>
      </c>
      <c r="D49" s="320">
        <v>270</v>
      </c>
      <c r="E49" s="321">
        <v>540749.16</v>
      </c>
      <c r="F49" s="322">
        <v>9.8100000000000007E-2</v>
      </c>
      <c r="G49" s="329">
        <v>540749.16</v>
      </c>
      <c r="I49" s="330"/>
    </row>
    <row r="50" spans="1:9" x14ac:dyDescent="0.35">
      <c r="A50" s="315" t="s">
        <v>373</v>
      </c>
      <c r="B50" s="320" t="s">
        <v>98</v>
      </c>
      <c r="C50" s="320" t="s">
        <v>400</v>
      </c>
      <c r="D50" s="320">
        <v>270</v>
      </c>
      <c r="E50" s="321">
        <v>828000</v>
      </c>
      <c r="F50" s="322">
        <v>9.9400000000000002E-2</v>
      </c>
      <c r="G50" s="329">
        <v>828000</v>
      </c>
      <c r="I50" s="330"/>
    </row>
    <row r="51" spans="1:9" x14ac:dyDescent="0.35">
      <c r="A51" s="315" t="s">
        <v>373</v>
      </c>
      <c r="B51" s="320" t="s">
        <v>98</v>
      </c>
      <c r="C51" s="320" t="s">
        <v>400</v>
      </c>
      <c r="D51" s="320">
        <v>270</v>
      </c>
      <c r="E51" s="321">
        <v>401000</v>
      </c>
      <c r="F51" s="322">
        <v>9.9400000000000002E-2</v>
      </c>
      <c r="G51" s="329">
        <v>401000</v>
      </c>
      <c r="I51" s="330"/>
    </row>
    <row r="52" spans="1:9" x14ac:dyDescent="0.35">
      <c r="A52" s="315" t="s">
        <v>373</v>
      </c>
      <c r="B52" s="320" t="s">
        <v>98</v>
      </c>
      <c r="C52" s="320" t="s">
        <v>400</v>
      </c>
      <c r="D52" s="320">
        <v>270</v>
      </c>
      <c r="E52" s="321">
        <v>1280465.57</v>
      </c>
      <c r="F52" s="322">
        <v>9.9400000000000002E-2</v>
      </c>
      <c r="G52" s="329">
        <v>1280465.57</v>
      </c>
      <c r="I52" s="330"/>
    </row>
    <row r="53" spans="1:9" x14ac:dyDescent="0.35">
      <c r="A53" s="315" t="s">
        <v>373</v>
      </c>
      <c r="B53" s="320" t="s">
        <v>98</v>
      </c>
      <c r="C53" s="320" t="s">
        <v>400</v>
      </c>
      <c r="D53" s="320">
        <v>270</v>
      </c>
      <c r="E53" s="321">
        <v>845000</v>
      </c>
      <c r="F53" s="322">
        <v>9.9400000000000002E-2</v>
      </c>
      <c r="G53" s="329">
        <v>845000</v>
      </c>
      <c r="I53" s="330"/>
    </row>
    <row r="54" spans="1:9" x14ac:dyDescent="0.35">
      <c r="A54" s="315" t="s">
        <v>373</v>
      </c>
      <c r="B54" s="320" t="s">
        <v>98</v>
      </c>
      <c r="C54" s="320" t="s">
        <v>400</v>
      </c>
      <c r="D54" s="320">
        <v>270</v>
      </c>
      <c r="E54" s="321">
        <v>762840.5</v>
      </c>
      <c r="F54" s="322">
        <v>9.9400000000000002E-2</v>
      </c>
      <c r="G54" s="329">
        <v>762840.5</v>
      </c>
      <c r="I54" s="330"/>
    </row>
    <row r="55" spans="1:9" x14ac:dyDescent="0.35">
      <c r="A55" s="315" t="s">
        <v>373</v>
      </c>
      <c r="B55" s="320" t="s">
        <v>98</v>
      </c>
      <c r="C55" s="320" t="s">
        <v>400</v>
      </c>
      <c r="D55" s="320">
        <v>270</v>
      </c>
      <c r="E55" s="321">
        <v>213993</v>
      </c>
      <c r="F55" s="322">
        <v>9.9400000000000002E-2</v>
      </c>
      <c r="G55" s="329">
        <v>213993</v>
      </c>
      <c r="I55" s="330"/>
    </row>
    <row r="56" spans="1:9" x14ac:dyDescent="0.35">
      <c r="A56" s="315" t="s">
        <v>373</v>
      </c>
      <c r="B56" s="320" t="s">
        <v>98</v>
      </c>
      <c r="C56" s="320" t="s">
        <v>400</v>
      </c>
      <c r="D56" s="320">
        <v>270</v>
      </c>
      <c r="E56" s="321">
        <v>343710.02</v>
      </c>
      <c r="F56" s="322">
        <v>9.9400000000000002E-2</v>
      </c>
      <c r="G56" s="329">
        <v>343710.02</v>
      </c>
      <c r="I56" s="330"/>
    </row>
    <row r="57" spans="1:9" x14ac:dyDescent="0.35">
      <c r="A57" s="315" t="s">
        <v>373</v>
      </c>
      <c r="B57" s="320" t="s">
        <v>98</v>
      </c>
      <c r="C57" s="320" t="s">
        <v>400</v>
      </c>
      <c r="D57" s="320">
        <v>270</v>
      </c>
      <c r="E57" s="321">
        <v>2155860</v>
      </c>
      <c r="F57" s="322">
        <v>9.9400000000000002E-2</v>
      </c>
      <c r="G57" s="329">
        <v>2155860</v>
      </c>
      <c r="I57" s="330"/>
    </row>
    <row r="58" spans="1:9" x14ac:dyDescent="0.35">
      <c r="A58" s="315" t="s">
        <v>373</v>
      </c>
      <c r="B58" s="320" t="s">
        <v>98</v>
      </c>
      <c r="C58" s="320" t="s">
        <v>400</v>
      </c>
      <c r="D58" s="320">
        <v>270</v>
      </c>
      <c r="E58" s="321">
        <v>1867367.7</v>
      </c>
      <c r="F58" s="322">
        <v>0.1009</v>
      </c>
      <c r="G58" s="329">
        <v>1867367.7</v>
      </c>
      <c r="I58" s="330"/>
    </row>
    <row r="59" spans="1:9" x14ac:dyDescent="0.35">
      <c r="A59" s="315" t="s">
        <v>373</v>
      </c>
      <c r="B59" s="320" t="s">
        <v>98</v>
      </c>
      <c r="C59" s="320" t="s">
        <v>400</v>
      </c>
      <c r="D59" s="320">
        <v>270</v>
      </c>
      <c r="E59" s="321">
        <v>1815907.9</v>
      </c>
      <c r="F59" s="322">
        <v>0.1009</v>
      </c>
      <c r="G59" s="329">
        <v>1815907.9</v>
      </c>
      <c r="I59" s="330"/>
    </row>
    <row r="60" spans="1:9" x14ac:dyDescent="0.35">
      <c r="A60" s="315" t="s">
        <v>373</v>
      </c>
      <c r="B60" s="320" t="s">
        <v>98</v>
      </c>
      <c r="C60" s="320" t="s">
        <v>400</v>
      </c>
      <c r="D60" s="320">
        <v>270</v>
      </c>
      <c r="E60" s="321">
        <v>360000</v>
      </c>
      <c r="F60" s="322">
        <v>0.1009</v>
      </c>
      <c r="G60" s="329">
        <v>360000</v>
      </c>
      <c r="I60" s="330"/>
    </row>
    <row r="61" spans="1:9" x14ac:dyDescent="0.35">
      <c r="A61" s="315" t="s">
        <v>373</v>
      </c>
      <c r="B61" s="320" t="s">
        <v>98</v>
      </c>
      <c r="C61" s="320" t="s">
        <v>400</v>
      </c>
      <c r="D61" s="320">
        <v>270</v>
      </c>
      <c r="E61" s="321">
        <v>3467283.1</v>
      </c>
      <c r="F61" s="322">
        <v>0.1009</v>
      </c>
      <c r="G61" s="329">
        <v>3467283.1</v>
      </c>
      <c r="I61" s="330"/>
    </row>
    <row r="62" spans="1:9" x14ac:dyDescent="0.35">
      <c r="A62" s="315" t="s">
        <v>373</v>
      </c>
      <c r="B62" s="320" t="s">
        <v>98</v>
      </c>
      <c r="C62" s="320" t="s">
        <v>400</v>
      </c>
      <c r="D62" s="320">
        <v>270</v>
      </c>
      <c r="E62" s="321">
        <v>3000000</v>
      </c>
      <c r="F62" s="322">
        <v>0.1009</v>
      </c>
      <c r="G62" s="329">
        <v>3000000</v>
      </c>
      <c r="I62" s="330"/>
    </row>
    <row r="63" spans="1:9" x14ac:dyDescent="0.35">
      <c r="A63" s="315" t="s">
        <v>373</v>
      </c>
      <c r="B63" s="320" t="s">
        <v>98</v>
      </c>
      <c r="C63" s="320" t="s">
        <v>400</v>
      </c>
      <c r="D63" s="320">
        <v>270</v>
      </c>
      <c r="E63" s="321">
        <v>837254.84</v>
      </c>
      <c r="F63" s="322">
        <v>0.10100000000000001</v>
      </c>
      <c r="G63" s="329">
        <v>837254.84</v>
      </c>
      <c r="I63" s="330"/>
    </row>
    <row r="64" spans="1:9" x14ac:dyDescent="0.35">
      <c r="A64" s="315" t="s">
        <v>373</v>
      </c>
      <c r="B64" s="320" t="s">
        <v>98</v>
      </c>
      <c r="C64" s="320" t="s">
        <v>400</v>
      </c>
      <c r="D64" s="320">
        <v>270</v>
      </c>
      <c r="E64" s="321">
        <v>1944000</v>
      </c>
      <c r="F64" s="322">
        <v>0.10100000000000001</v>
      </c>
      <c r="G64" s="329">
        <v>1944000</v>
      </c>
      <c r="I64" s="330"/>
    </row>
    <row r="65" spans="1:9" x14ac:dyDescent="0.35">
      <c r="A65" s="315" t="s">
        <v>373</v>
      </c>
      <c r="B65" s="320" t="s">
        <v>98</v>
      </c>
      <c r="C65" s="320" t="s">
        <v>400</v>
      </c>
      <c r="D65" s="320">
        <v>270</v>
      </c>
      <c r="E65" s="321">
        <v>720000</v>
      </c>
      <c r="F65" s="322">
        <v>0.10100000000000001</v>
      </c>
      <c r="G65" s="329">
        <v>720000</v>
      </c>
      <c r="I65" s="330"/>
    </row>
    <row r="66" spans="1:9" x14ac:dyDescent="0.35">
      <c r="A66" s="315" t="s">
        <v>373</v>
      </c>
      <c r="B66" s="320" t="s">
        <v>98</v>
      </c>
      <c r="C66" s="320" t="s">
        <v>400</v>
      </c>
      <c r="D66" s="320">
        <v>270</v>
      </c>
      <c r="E66" s="321">
        <v>1120744</v>
      </c>
      <c r="F66" s="322">
        <v>0.10100000000000001</v>
      </c>
      <c r="G66" s="329">
        <v>1120744</v>
      </c>
      <c r="I66" s="330"/>
    </row>
    <row r="67" spans="1:9" x14ac:dyDescent="0.35">
      <c r="A67" s="315" t="s">
        <v>373</v>
      </c>
      <c r="B67" s="320" t="s">
        <v>98</v>
      </c>
      <c r="C67" s="320" t="s">
        <v>400</v>
      </c>
      <c r="D67" s="320">
        <v>270</v>
      </c>
      <c r="E67" s="321">
        <v>965375</v>
      </c>
      <c r="F67" s="322">
        <v>0.10100000000000001</v>
      </c>
      <c r="G67" s="329">
        <v>965375</v>
      </c>
      <c r="I67" s="330"/>
    </row>
    <row r="68" spans="1:9" x14ac:dyDescent="0.35">
      <c r="A68" s="315" t="s">
        <v>373</v>
      </c>
      <c r="B68" s="320" t="s">
        <v>98</v>
      </c>
      <c r="C68" s="320" t="s">
        <v>400</v>
      </c>
      <c r="D68" s="320">
        <v>270</v>
      </c>
      <c r="E68" s="321">
        <v>902700</v>
      </c>
      <c r="F68" s="322">
        <v>0.10100000000000001</v>
      </c>
      <c r="G68" s="329">
        <v>902700</v>
      </c>
      <c r="I68" s="330"/>
    </row>
    <row r="69" spans="1:9" x14ac:dyDescent="0.35">
      <c r="A69" s="315" t="s">
        <v>373</v>
      </c>
      <c r="B69" s="320" t="s">
        <v>98</v>
      </c>
      <c r="C69" s="320" t="s">
        <v>400</v>
      </c>
      <c r="D69" s="320">
        <v>270</v>
      </c>
      <c r="E69" s="321">
        <v>774000</v>
      </c>
      <c r="F69" s="322">
        <v>0.1053</v>
      </c>
      <c r="G69" s="329">
        <v>774000</v>
      </c>
      <c r="I69" s="330"/>
    </row>
    <row r="70" spans="1:9" x14ac:dyDescent="0.35">
      <c r="A70" s="315" t="s">
        <v>373</v>
      </c>
      <c r="B70" s="320" t="s">
        <v>98</v>
      </c>
      <c r="C70" s="320" t="s">
        <v>400</v>
      </c>
      <c r="D70" s="320">
        <v>270</v>
      </c>
      <c r="E70" s="321">
        <v>4315742.41</v>
      </c>
      <c r="F70" s="322">
        <v>0.1053</v>
      </c>
      <c r="G70" s="329">
        <v>4315742.41</v>
      </c>
      <c r="I70" s="330"/>
    </row>
    <row r="71" spans="1:9" x14ac:dyDescent="0.35">
      <c r="A71" s="315" t="s">
        <v>373</v>
      </c>
      <c r="B71" s="320" t="s">
        <v>98</v>
      </c>
      <c r="C71" s="320" t="s">
        <v>400</v>
      </c>
      <c r="D71" s="320">
        <v>270</v>
      </c>
      <c r="E71" s="321">
        <v>380390.7</v>
      </c>
      <c r="F71" s="322">
        <v>8.9399999999999993E-2</v>
      </c>
      <c r="G71" s="329">
        <v>380390.7</v>
      </c>
      <c r="I71" s="330"/>
    </row>
    <row r="72" spans="1:9" x14ac:dyDescent="0.35">
      <c r="A72" s="315" t="s">
        <v>373</v>
      </c>
      <c r="B72" s="320" t="s">
        <v>98</v>
      </c>
      <c r="C72" s="320" t="s">
        <v>400</v>
      </c>
      <c r="D72" s="320">
        <v>270</v>
      </c>
      <c r="E72" s="321">
        <v>340000</v>
      </c>
      <c r="F72" s="322">
        <v>8.9399999999999993E-2</v>
      </c>
      <c r="G72" s="329">
        <v>340000</v>
      </c>
      <c r="I72" s="330"/>
    </row>
    <row r="73" spans="1:9" x14ac:dyDescent="0.35">
      <c r="A73" s="315" t="s">
        <v>373</v>
      </c>
      <c r="B73" s="320" t="s">
        <v>98</v>
      </c>
      <c r="C73" s="320" t="s">
        <v>400</v>
      </c>
      <c r="D73" s="320">
        <v>270</v>
      </c>
      <c r="E73" s="321">
        <v>460000</v>
      </c>
      <c r="F73" s="322">
        <v>8.9399999999999993E-2</v>
      </c>
      <c r="G73" s="329">
        <v>460000</v>
      </c>
      <c r="I73" s="330"/>
    </row>
    <row r="74" spans="1:9" x14ac:dyDescent="0.35">
      <c r="A74" s="315" t="s">
        <v>373</v>
      </c>
      <c r="B74" s="320" t="s">
        <v>98</v>
      </c>
      <c r="C74" s="320" t="s">
        <v>400</v>
      </c>
      <c r="D74" s="320">
        <v>270</v>
      </c>
      <c r="E74" s="321">
        <v>1146282</v>
      </c>
      <c r="F74" s="322">
        <v>0.1082</v>
      </c>
      <c r="G74" s="329">
        <v>1146282</v>
      </c>
      <c r="I74" s="330"/>
    </row>
    <row r="75" spans="1:9" x14ac:dyDescent="0.35">
      <c r="A75" s="315" t="s">
        <v>373</v>
      </c>
      <c r="B75" s="320" t="s">
        <v>98</v>
      </c>
      <c r="C75" s="320" t="s">
        <v>400</v>
      </c>
      <c r="D75" s="320">
        <v>270</v>
      </c>
      <c r="E75" s="321">
        <v>2155860</v>
      </c>
      <c r="F75" s="322">
        <v>0.1094</v>
      </c>
      <c r="G75" s="329">
        <v>2155860</v>
      </c>
      <c r="I75" s="330"/>
    </row>
    <row r="76" spans="1:9" x14ac:dyDescent="0.35">
      <c r="A76" s="315" t="s">
        <v>373</v>
      </c>
      <c r="B76" s="320" t="s">
        <v>98</v>
      </c>
      <c r="C76" s="320" t="s">
        <v>400</v>
      </c>
      <c r="D76" s="320">
        <v>270</v>
      </c>
      <c r="E76" s="321">
        <v>1148283.1499999999</v>
      </c>
      <c r="F76" s="322">
        <v>0.1094</v>
      </c>
      <c r="G76" s="329">
        <v>1148283.1499999999</v>
      </c>
      <c r="I76" s="330"/>
    </row>
    <row r="77" spans="1:9" x14ac:dyDescent="0.35">
      <c r="A77" s="315" t="s">
        <v>373</v>
      </c>
      <c r="B77" s="320" t="s">
        <v>98</v>
      </c>
      <c r="C77" s="320" t="s">
        <v>400</v>
      </c>
      <c r="D77" s="320">
        <v>270</v>
      </c>
      <c r="E77" s="321">
        <v>1500000</v>
      </c>
      <c r="F77" s="322">
        <v>0.1094</v>
      </c>
      <c r="G77" s="329">
        <v>1500000</v>
      </c>
      <c r="I77" s="330"/>
    </row>
    <row r="78" spans="1:9" x14ac:dyDescent="0.35">
      <c r="A78" s="315" t="s">
        <v>373</v>
      </c>
      <c r="B78" s="320" t="s">
        <v>98</v>
      </c>
      <c r="C78" s="320" t="s">
        <v>400</v>
      </c>
      <c r="D78" s="320">
        <v>270</v>
      </c>
      <c r="E78" s="321">
        <v>1500000</v>
      </c>
      <c r="F78" s="322">
        <v>0.1094</v>
      </c>
      <c r="G78" s="329">
        <v>1500000</v>
      </c>
      <c r="I78" s="330"/>
    </row>
    <row r="79" spans="1:9" x14ac:dyDescent="0.35">
      <c r="A79" s="315" t="s">
        <v>373</v>
      </c>
      <c r="B79" s="320" t="s">
        <v>98</v>
      </c>
      <c r="C79" s="320" t="s">
        <v>400</v>
      </c>
      <c r="D79" s="320">
        <v>270</v>
      </c>
      <c r="E79" s="321">
        <v>193432.73</v>
      </c>
      <c r="F79" s="322">
        <v>0.1094</v>
      </c>
      <c r="G79" s="329">
        <v>193432.73</v>
      </c>
      <c r="I79" s="330"/>
    </row>
    <row r="80" spans="1:9" x14ac:dyDescent="0.35">
      <c r="A80" s="315" t="s">
        <v>373</v>
      </c>
      <c r="B80" s="320" t="s">
        <v>98</v>
      </c>
      <c r="C80" s="320" t="s">
        <v>400</v>
      </c>
      <c r="D80" s="320">
        <v>270</v>
      </c>
      <c r="E80" s="321">
        <v>396010.47</v>
      </c>
      <c r="F80" s="322">
        <v>0.1094</v>
      </c>
      <c r="G80" s="329">
        <v>396010.47</v>
      </c>
      <c r="I80" s="330"/>
    </row>
    <row r="81" spans="1:8" x14ac:dyDescent="0.35">
      <c r="A81" s="315" t="s">
        <v>373</v>
      </c>
      <c r="B81" s="320" t="s">
        <v>98</v>
      </c>
      <c r="C81" s="320" t="s">
        <v>400</v>
      </c>
      <c r="D81" s="320">
        <v>270</v>
      </c>
      <c r="E81" s="321">
        <v>1298000</v>
      </c>
      <c r="F81" s="322">
        <v>0.1094</v>
      </c>
      <c r="G81" s="329">
        <v>1298000</v>
      </c>
    </row>
    <row r="82" spans="1:8" x14ac:dyDescent="0.35">
      <c r="A82" s="315" t="s">
        <v>373</v>
      </c>
      <c r="B82" s="320" t="s">
        <v>98</v>
      </c>
      <c r="C82" s="320" t="s">
        <v>400</v>
      </c>
      <c r="D82" s="320">
        <v>270</v>
      </c>
      <c r="E82" s="321">
        <v>864999.99</v>
      </c>
      <c r="F82" s="322">
        <v>0.1094</v>
      </c>
      <c r="G82" s="329">
        <v>864999.99</v>
      </c>
    </row>
    <row r="83" spans="1:8" x14ac:dyDescent="0.35">
      <c r="A83" s="315" t="s">
        <v>373</v>
      </c>
      <c r="B83" s="320" t="s">
        <v>98</v>
      </c>
      <c r="C83" s="320" t="s">
        <v>400</v>
      </c>
      <c r="D83" s="320">
        <v>270</v>
      </c>
      <c r="E83" s="321">
        <v>850000</v>
      </c>
      <c r="F83" s="322">
        <v>0.1173</v>
      </c>
      <c r="G83" s="329">
        <v>850000</v>
      </c>
    </row>
    <row r="84" spans="1:8" x14ac:dyDescent="0.35">
      <c r="A84" s="315" t="s">
        <v>373</v>
      </c>
      <c r="B84" s="320" t="s">
        <v>98</v>
      </c>
      <c r="C84" s="320" t="s">
        <v>400</v>
      </c>
      <c r="D84" s="320">
        <v>270</v>
      </c>
      <c r="E84" s="321">
        <v>229706.68</v>
      </c>
      <c r="F84" s="322">
        <v>0.1173</v>
      </c>
      <c r="G84" s="329">
        <v>229706.68</v>
      </c>
    </row>
    <row r="85" spans="1:8" x14ac:dyDescent="0.35">
      <c r="A85" s="315" t="s">
        <v>373</v>
      </c>
      <c r="B85" s="320" t="s">
        <v>98</v>
      </c>
      <c r="C85" s="320" t="s">
        <v>400</v>
      </c>
      <c r="D85" s="320">
        <v>270</v>
      </c>
      <c r="E85" s="321">
        <v>229706.68</v>
      </c>
      <c r="F85" s="322">
        <v>0.1173</v>
      </c>
      <c r="G85" s="329">
        <v>229706.68</v>
      </c>
    </row>
    <row r="86" spans="1:8" x14ac:dyDescent="0.35">
      <c r="A86" s="315" t="s">
        <v>373</v>
      </c>
      <c r="B86" s="320" t="s">
        <v>98</v>
      </c>
      <c r="C86" s="320" t="s">
        <v>400</v>
      </c>
      <c r="D86" s="320">
        <v>270</v>
      </c>
      <c r="E86" s="321">
        <v>907579.64</v>
      </c>
      <c r="F86" s="322">
        <v>0.1065</v>
      </c>
      <c r="G86" s="329">
        <v>907579.64</v>
      </c>
    </row>
    <row r="87" spans="1:8" x14ac:dyDescent="0.35">
      <c r="A87" s="315" t="s">
        <v>373</v>
      </c>
      <c r="B87" s="320" t="s">
        <v>98</v>
      </c>
      <c r="C87" s="320" t="s">
        <v>400</v>
      </c>
      <c r="D87" s="320">
        <v>270</v>
      </c>
      <c r="E87" s="321">
        <v>1028113.5</v>
      </c>
      <c r="F87" s="322">
        <v>0.1065</v>
      </c>
      <c r="G87" s="329">
        <v>1028113.5</v>
      </c>
    </row>
    <row r="88" spans="1:8" x14ac:dyDescent="0.35">
      <c r="A88" s="315" t="s">
        <v>373</v>
      </c>
      <c r="B88" s="320" t="s">
        <v>98</v>
      </c>
      <c r="C88" s="320" t="s">
        <v>400</v>
      </c>
      <c r="D88" s="320">
        <v>270</v>
      </c>
      <c r="E88" s="321">
        <v>590000</v>
      </c>
      <c r="F88" s="322">
        <v>0.1065</v>
      </c>
      <c r="G88" s="329">
        <v>590000</v>
      </c>
    </row>
    <row r="89" spans="1:8" x14ac:dyDescent="0.35">
      <c r="A89" s="315" t="s">
        <v>373</v>
      </c>
      <c r="B89" s="320" t="s">
        <v>98</v>
      </c>
      <c r="C89" s="320" t="s">
        <v>400</v>
      </c>
      <c r="D89" s="320">
        <v>270</v>
      </c>
      <c r="E89" s="321">
        <v>217710</v>
      </c>
      <c r="F89" s="322">
        <v>0.1065</v>
      </c>
      <c r="G89" s="329">
        <v>217710</v>
      </c>
      <c r="H89" s="86"/>
    </row>
    <row r="90" spans="1:8" x14ac:dyDescent="0.35">
      <c r="A90" s="315" t="s">
        <v>373</v>
      </c>
      <c r="B90" s="320" t="s">
        <v>98</v>
      </c>
      <c r="C90" s="320" t="s">
        <v>400</v>
      </c>
      <c r="D90" s="320">
        <v>270</v>
      </c>
      <c r="E90" s="321">
        <v>760000</v>
      </c>
      <c r="F90" s="322">
        <v>0.111</v>
      </c>
      <c r="G90" s="329">
        <v>760000</v>
      </c>
      <c r="H90" s="86"/>
    </row>
    <row r="91" spans="1:8" x14ac:dyDescent="0.35">
      <c r="A91" s="315" t="s">
        <v>373</v>
      </c>
      <c r="B91" s="320" t="s">
        <v>98</v>
      </c>
      <c r="C91" s="320" t="s">
        <v>400</v>
      </c>
      <c r="D91" s="320">
        <v>270</v>
      </c>
      <c r="E91" s="321">
        <v>597277.06000000006</v>
      </c>
      <c r="F91" s="322">
        <v>0.111</v>
      </c>
      <c r="G91" s="329">
        <v>597277.06000000006</v>
      </c>
      <c r="H91" s="86"/>
    </row>
    <row r="92" spans="1:8" x14ac:dyDescent="0.35">
      <c r="A92" s="315" t="s">
        <v>373</v>
      </c>
      <c r="B92" s="320" t="s">
        <v>98</v>
      </c>
      <c r="C92" s="320" t="s">
        <v>400</v>
      </c>
      <c r="D92" s="320">
        <v>270</v>
      </c>
      <c r="E92" s="321">
        <v>352616.82</v>
      </c>
      <c r="F92" s="322">
        <v>0.111</v>
      </c>
      <c r="G92" s="329">
        <v>352616.82</v>
      </c>
      <c r="H92" s="86"/>
    </row>
    <row r="93" spans="1:8" x14ac:dyDescent="0.35">
      <c r="A93" s="315" t="s">
        <v>373</v>
      </c>
      <c r="B93" s="320" t="s">
        <v>98</v>
      </c>
      <c r="C93" s="320" t="s">
        <v>400</v>
      </c>
      <c r="D93" s="320">
        <v>270</v>
      </c>
      <c r="E93" s="321">
        <v>732688.59</v>
      </c>
      <c r="F93" s="322">
        <v>0.111</v>
      </c>
      <c r="G93" s="329">
        <v>732688.59</v>
      </c>
      <c r="H93" s="86"/>
    </row>
    <row r="94" spans="1:8" x14ac:dyDescent="0.35">
      <c r="A94" s="315" t="s">
        <v>373</v>
      </c>
      <c r="B94" s="320" t="s">
        <v>98</v>
      </c>
      <c r="C94" s="320" t="s">
        <v>400</v>
      </c>
      <c r="D94" s="320">
        <v>270</v>
      </c>
      <c r="E94" s="321">
        <v>1500000</v>
      </c>
      <c r="F94" s="322">
        <v>0.11070000000000001</v>
      </c>
      <c r="G94" s="329">
        <v>1500000</v>
      </c>
      <c r="H94" s="86"/>
    </row>
    <row r="95" spans="1:8" x14ac:dyDescent="0.35">
      <c r="A95" s="315" t="s">
        <v>373</v>
      </c>
      <c r="B95" s="320" t="s">
        <v>98</v>
      </c>
      <c r="C95" s="320" t="s">
        <v>400</v>
      </c>
      <c r="D95" s="320">
        <v>270</v>
      </c>
      <c r="E95" s="321">
        <v>314230.5</v>
      </c>
      <c r="F95" s="322">
        <v>0.1079</v>
      </c>
      <c r="G95" s="329">
        <v>314230.5</v>
      </c>
      <c r="H95" s="86"/>
    </row>
    <row r="96" spans="1:8" x14ac:dyDescent="0.35">
      <c r="A96" s="315" t="s">
        <v>373</v>
      </c>
      <c r="B96" s="320" t="s">
        <v>98</v>
      </c>
      <c r="C96" s="320" t="s">
        <v>400</v>
      </c>
      <c r="D96" s="320">
        <v>270</v>
      </c>
      <c r="E96" s="321">
        <v>200000</v>
      </c>
      <c r="F96" s="322">
        <v>0.1079</v>
      </c>
      <c r="G96" s="329">
        <v>200000</v>
      </c>
      <c r="H96" s="86"/>
    </row>
    <row r="97" spans="1:8" x14ac:dyDescent="0.35">
      <c r="A97" s="315" t="s">
        <v>373</v>
      </c>
      <c r="B97" s="320" t="s">
        <v>98</v>
      </c>
      <c r="C97" s="320" t="s">
        <v>400</v>
      </c>
      <c r="D97" s="320">
        <v>270</v>
      </c>
      <c r="E97" s="321">
        <v>260449.88</v>
      </c>
      <c r="F97" s="322">
        <v>0.1079</v>
      </c>
      <c r="G97" s="329">
        <v>260449.88</v>
      </c>
      <c r="H97" s="86"/>
    </row>
    <row r="98" spans="1:8" x14ac:dyDescent="0.35">
      <c r="A98" s="315" t="s">
        <v>373</v>
      </c>
      <c r="B98" s="320" t="s">
        <v>98</v>
      </c>
      <c r="C98" s="320" t="s">
        <v>400</v>
      </c>
      <c r="D98" s="320">
        <v>270</v>
      </c>
      <c r="E98" s="321">
        <v>450000</v>
      </c>
      <c r="F98" s="322">
        <v>0.1079</v>
      </c>
      <c r="G98" s="329">
        <v>450000</v>
      </c>
      <c r="H98" s="86"/>
    </row>
    <row r="99" spans="1:8" x14ac:dyDescent="0.35">
      <c r="A99" s="315" t="s">
        <v>373</v>
      </c>
      <c r="B99" s="320" t="s">
        <v>98</v>
      </c>
      <c r="C99" s="320" t="s">
        <v>400</v>
      </c>
      <c r="D99" s="320">
        <v>270</v>
      </c>
      <c r="E99" s="321">
        <v>381000</v>
      </c>
      <c r="F99" s="322">
        <v>0.107</v>
      </c>
      <c r="G99" s="329">
        <v>381000</v>
      </c>
      <c r="H99" s="86"/>
    </row>
    <row r="100" spans="1:8" x14ac:dyDescent="0.35">
      <c r="A100" s="315" t="s">
        <v>373</v>
      </c>
      <c r="B100" s="320" t="s">
        <v>98</v>
      </c>
      <c r="C100" s="320" t="s">
        <v>400</v>
      </c>
      <c r="D100" s="320">
        <v>270</v>
      </c>
      <c r="E100" s="321">
        <v>375198.6</v>
      </c>
      <c r="F100" s="322">
        <v>0.107</v>
      </c>
      <c r="G100" s="329">
        <v>375198.6</v>
      </c>
      <c r="H100" s="86"/>
    </row>
    <row r="101" spans="1:8" x14ac:dyDescent="0.35">
      <c r="A101" s="315" t="s">
        <v>373</v>
      </c>
      <c r="B101" s="320" t="s">
        <v>98</v>
      </c>
      <c r="C101" s="320" t="s">
        <v>400</v>
      </c>
      <c r="D101" s="320">
        <v>270</v>
      </c>
      <c r="E101" s="321">
        <v>212500</v>
      </c>
      <c r="F101" s="322">
        <v>0.107</v>
      </c>
      <c r="G101" s="329">
        <v>212500</v>
      </c>
      <c r="H101" s="86"/>
    </row>
    <row r="102" spans="1:8" x14ac:dyDescent="0.35">
      <c r="A102" s="315" t="s">
        <v>373</v>
      </c>
      <c r="B102" s="320" t="s">
        <v>98</v>
      </c>
      <c r="C102" s="320" t="s">
        <v>400</v>
      </c>
      <c r="D102" s="320">
        <v>270</v>
      </c>
      <c r="E102" s="321">
        <v>400000</v>
      </c>
      <c r="F102" s="322">
        <v>0.107</v>
      </c>
      <c r="G102" s="329">
        <v>400000</v>
      </c>
      <c r="H102" s="86"/>
    </row>
    <row r="103" spans="1:8" x14ac:dyDescent="0.35">
      <c r="A103" s="315" t="s">
        <v>373</v>
      </c>
      <c r="B103" s="320" t="s">
        <v>98</v>
      </c>
      <c r="C103" s="320" t="s">
        <v>400</v>
      </c>
      <c r="D103" s="320">
        <v>270</v>
      </c>
      <c r="E103" s="321">
        <v>192800</v>
      </c>
      <c r="F103" s="322">
        <v>0.107</v>
      </c>
      <c r="G103" s="329">
        <v>192800</v>
      </c>
      <c r="H103" s="86"/>
    </row>
    <row r="104" spans="1:8" x14ac:dyDescent="0.35">
      <c r="A104" s="315" t="s">
        <v>373</v>
      </c>
      <c r="B104" s="320" t="s">
        <v>98</v>
      </c>
      <c r="C104" s="320" t="s">
        <v>400</v>
      </c>
      <c r="D104" s="320">
        <v>270</v>
      </c>
      <c r="E104" s="321">
        <v>3725117.7</v>
      </c>
      <c r="F104" s="322">
        <v>0.111</v>
      </c>
      <c r="G104" s="329">
        <v>3725117.7</v>
      </c>
      <c r="H104" s="86"/>
    </row>
    <row r="105" spans="1:8" x14ac:dyDescent="0.35">
      <c r="A105" s="315" t="s">
        <v>373</v>
      </c>
      <c r="B105" s="320" t="s">
        <v>98</v>
      </c>
      <c r="C105" s="320" t="s">
        <v>400</v>
      </c>
      <c r="D105" s="320">
        <v>270</v>
      </c>
      <c r="E105" s="321">
        <v>315000</v>
      </c>
      <c r="F105" s="322">
        <v>0.111</v>
      </c>
      <c r="G105" s="329">
        <v>315000</v>
      </c>
      <c r="H105" s="86"/>
    </row>
    <row r="106" spans="1:8" x14ac:dyDescent="0.35">
      <c r="A106" s="315" t="s">
        <v>373</v>
      </c>
      <c r="B106" s="320" t="s">
        <v>98</v>
      </c>
      <c r="C106" s="320" t="s">
        <v>400</v>
      </c>
      <c r="D106" s="320">
        <v>270</v>
      </c>
      <c r="E106" s="321">
        <v>2150297.12</v>
      </c>
      <c r="F106" s="322">
        <v>0.111</v>
      </c>
      <c r="G106" s="329">
        <v>2150297.12</v>
      </c>
      <c r="H106" s="86"/>
    </row>
    <row r="107" spans="1:8" x14ac:dyDescent="0.35">
      <c r="A107" s="315" t="s">
        <v>373</v>
      </c>
      <c r="B107" s="320" t="s">
        <v>98</v>
      </c>
      <c r="C107" s="320" t="s">
        <v>400</v>
      </c>
      <c r="D107" s="320">
        <v>270</v>
      </c>
      <c r="E107" s="321">
        <v>3743070.9</v>
      </c>
      <c r="F107" s="322">
        <v>0.111</v>
      </c>
      <c r="G107" s="329">
        <v>3743070.9</v>
      </c>
      <c r="H107" s="86"/>
    </row>
    <row r="108" spans="1:8" x14ac:dyDescent="0.35">
      <c r="A108" s="315" t="s">
        <v>373</v>
      </c>
      <c r="B108" s="320" t="s">
        <v>98</v>
      </c>
      <c r="C108" s="320" t="s">
        <v>400</v>
      </c>
      <c r="D108" s="320">
        <v>270</v>
      </c>
      <c r="E108" s="321">
        <v>735520.38</v>
      </c>
      <c r="F108" s="322">
        <v>0.111</v>
      </c>
      <c r="G108" s="329">
        <v>735520.38</v>
      </c>
      <c r="H108" s="86"/>
    </row>
    <row r="109" spans="1:8" x14ac:dyDescent="0.35">
      <c r="A109" s="315" t="s">
        <v>373</v>
      </c>
      <c r="B109" s="320" t="s">
        <v>98</v>
      </c>
      <c r="C109" s="320" t="s">
        <v>400</v>
      </c>
      <c r="D109" s="320">
        <v>270</v>
      </c>
      <c r="E109" s="321">
        <v>421330.27</v>
      </c>
      <c r="F109" s="322">
        <v>0.111</v>
      </c>
      <c r="G109" s="329">
        <v>421330.27</v>
      </c>
      <c r="H109" s="86"/>
    </row>
    <row r="110" spans="1:8" x14ac:dyDescent="0.35">
      <c r="A110" s="315" t="s">
        <v>373</v>
      </c>
      <c r="B110" s="320" t="s">
        <v>98</v>
      </c>
      <c r="C110" s="320" t="s">
        <v>400</v>
      </c>
      <c r="D110" s="320">
        <v>270</v>
      </c>
      <c r="E110" s="321">
        <v>17640000</v>
      </c>
      <c r="F110" s="322">
        <v>0.111</v>
      </c>
      <c r="G110" s="329">
        <v>17640000</v>
      </c>
      <c r="H110" s="86"/>
    </row>
    <row r="111" spans="1:8" x14ac:dyDescent="0.35">
      <c r="A111" s="315" t="s">
        <v>373</v>
      </c>
      <c r="B111" s="320" t="s">
        <v>98</v>
      </c>
      <c r="C111" s="320" t="s">
        <v>400</v>
      </c>
      <c r="D111" s="320">
        <v>270</v>
      </c>
      <c r="E111" s="321">
        <v>670000</v>
      </c>
      <c r="F111" s="322">
        <v>0.10929999999999999</v>
      </c>
      <c r="G111" s="329">
        <v>670000</v>
      </c>
      <c r="H111" s="86"/>
    </row>
    <row r="112" spans="1:8" x14ac:dyDescent="0.35">
      <c r="A112" s="315" t="s">
        <v>373</v>
      </c>
      <c r="B112" s="320" t="s">
        <v>98</v>
      </c>
      <c r="C112" s="320" t="s">
        <v>400</v>
      </c>
      <c r="D112" s="320">
        <v>270</v>
      </c>
      <c r="E112" s="321">
        <v>1200060</v>
      </c>
      <c r="F112" s="322">
        <v>0.10929999999999999</v>
      </c>
      <c r="G112" s="329">
        <v>1200060</v>
      </c>
      <c r="H112" s="86"/>
    </row>
    <row r="113" spans="1:8" x14ac:dyDescent="0.35">
      <c r="A113" s="315" t="s">
        <v>373</v>
      </c>
      <c r="B113" s="320" t="s">
        <v>98</v>
      </c>
      <c r="C113" s="320" t="s">
        <v>400</v>
      </c>
      <c r="D113" s="320">
        <v>270</v>
      </c>
      <c r="E113" s="321">
        <v>2249600</v>
      </c>
      <c r="F113" s="322">
        <v>0.10929999999999999</v>
      </c>
      <c r="G113" s="329">
        <v>2249600</v>
      </c>
      <c r="H113" s="86"/>
    </row>
    <row r="114" spans="1:8" x14ac:dyDescent="0.35">
      <c r="A114" s="315" t="s">
        <v>373</v>
      </c>
      <c r="B114" s="320" t="s">
        <v>98</v>
      </c>
      <c r="C114" s="320" t="s">
        <v>400</v>
      </c>
      <c r="D114" s="320">
        <v>270</v>
      </c>
      <c r="E114" s="321">
        <v>649000</v>
      </c>
      <c r="F114" s="322">
        <v>0.10929999999999999</v>
      </c>
      <c r="G114" s="329">
        <v>649000</v>
      </c>
      <c r="H114" s="86"/>
    </row>
    <row r="115" spans="1:8" x14ac:dyDescent="0.35">
      <c r="A115" s="315" t="s">
        <v>373</v>
      </c>
      <c r="B115" s="320" t="s">
        <v>98</v>
      </c>
      <c r="C115" s="320" t="s">
        <v>400</v>
      </c>
      <c r="D115" s="320">
        <v>270</v>
      </c>
      <c r="E115" s="321">
        <v>300000</v>
      </c>
      <c r="F115" s="322">
        <v>0.10929999999999999</v>
      </c>
      <c r="G115" s="329">
        <v>300000</v>
      </c>
      <c r="H115" s="86"/>
    </row>
    <row r="116" spans="1:8" x14ac:dyDescent="0.35">
      <c r="A116" s="315" t="s">
        <v>373</v>
      </c>
      <c r="B116" s="320" t="s">
        <v>98</v>
      </c>
      <c r="C116" s="320" t="s">
        <v>400</v>
      </c>
      <c r="D116" s="320">
        <v>270</v>
      </c>
      <c r="E116" s="321">
        <v>7243215.6799999997</v>
      </c>
      <c r="F116" s="322">
        <v>0.10929999999999999</v>
      </c>
      <c r="G116" s="329">
        <v>7243215.6799999997</v>
      </c>
      <c r="H116" s="86"/>
    </row>
    <row r="117" spans="1:8" x14ac:dyDescent="0.35">
      <c r="A117" s="315" t="s">
        <v>373</v>
      </c>
      <c r="B117" s="320" t="s">
        <v>98</v>
      </c>
      <c r="C117" s="320" t="s">
        <v>400</v>
      </c>
      <c r="D117" s="320">
        <v>270</v>
      </c>
      <c r="E117" s="321">
        <v>280000</v>
      </c>
      <c r="F117" s="322">
        <v>0.10929999999999999</v>
      </c>
      <c r="G117" s="329">
        <v>280000</v>
      </c>
      <c r="H117" s="86"/>
    </row>
    <row r="118" spans="1:8" x14ac:dyDescent="0.35">
      <c r="A118" s="315" t="s">
        <v>373</v>
      </c>
      <c r="B118" s="320" t="s">
        <v>98</v>
      </c>
      <c r="C118" s="320" t="s">
        <v>400</v>
      </c>
      <c r="D118" s="320">
        <v>270</v>
      </c>
      <c r="E118" s="321">
        <v>453651</v>
      </c>
      <c r="F118" s="322">
        <v>0.11609999999999999</v>
      </c>
      <c r="G118" s="329">
        <v>453651</v>
      </c>
      <c r="H118" s="86"/>
    </row>
    <row r="119" spans="1:8" x14ac:dyDescent="0.35">
      <c r="A119" s="315" t="s">
        <v>373</v>
      </c>
      <c r="B119" s="320" t="s">
        <v>98</v>
      </c>
      <c r="C119" s="320" t="s">
        <v>400</v>
      </c>
      <c r="D119" s="320">
        <v>270</v>
      </c>
      <c r="E119" s="321">
        <v>250000</v>
      </c>
      <c r="F119" s="322">
        <v>0.11609999999999999</v>
      </c>
      <c r="G119" s="329">
        <v>250000</v>
      </c>
      <c r="H119" s="86"/>
    </row>
    <row r="120" spans="1:8" x14ac:dyDescent="0.35">
      <c r="A120" s="315" t="s">
        <v>373</v>
      </c>
      <c r="B120" s="320" t="s">
        <v>98</v>
      </c>
      <c r="C120" s="320" t="s">
        <v>400</v>
      </c>
      <c r="D120" s="320">
        <v>270</v>
      </c>
      <c r="E120" s="321">
        <v>18341536.059999999</v>
      </c>
      <c r="F120" s="322">
        <v>0.11609999999999999</v>
      </c>
      <c r="G120" s="329">
        <v>18341536.059999999</v>
      </c>
      <c r="H120" s="86"/>
    </row>
    <row r="121" spans="1:8" x14ac:dyDescent="0.35">
      <c r="A121" s="315" t="s">
        <v>373</v>
      </c>
      <c r="B121" s="320" t="s">
        <v>98</v>
      </c>
      <c r="C121" s="320" t="s">
        <v>400</v>
      </c>
      <c r="D121" s="320">
        <v>270</v>
      </c>
      <c r="E121" s="321">
        <v>1275000</v>
      </c>
      <c r="F121" s="322">
        <v>0.11609999999999999</v>
      </c>
      <c r="G121" s="329">
        <v>1275000</v>
      </c>
      <c r="H121" s="86"/>
    </row>
    <row r="122" spans="1:8" x14ac:dyDescent="0.35">
      <c r="A122" s="315" t="s">
        <v>373</v>
      </c>
      <c r="B122" s="320" t="s">
        <v>98</v>
      </c>
      <c r="C122" s="320" t="s">
        <v>400</v>
      </c>
      <c r="D122" s="320">
        <v>270</v>
      </c>
      <c r="E122" s="321">
        <v>423411.39</v>
      </c>
      <c r="F122" s="322">
        <v>0.11559999999999999</v>
      </c>
      <c r="G122" s="329">
        <v>423411.39</v>
      </c>
      <c r="H122" s="86"/>
    </row>
    <row r="123" spans="1:8" x14ac:dyDescent="0.35">
      <c r="A123" s="315" t="s">
        <v>373</v>
      </c>
      <c r="B123" s="320" t="s">
        <v>98</v>
      </c>
      <c r="C123" s="320" t="s">
        <v>400</v>
      </c>
      <c r="D123" s="320">
        <v>270</v>
      </c>
      <c r="E123" s="321">
        <v>260000</v>
      </c>
      <c r="F123" s="322">
        <v>0.11559999999999999</v>
      </c>
      <c r="G123" s="329">
        <v>260000</v>
      </c>
      <c r="H123" s="86"/>
    </row>
    <row r="124" spans="1:8" x14ac:dyDescent="0.35">
      <c r="A124" s="315" t="s">
        <v>373</v>
      </c>
      <c r="B124" s="320" t="s">
        <v>98</v>
      </c>
      <c r="C124" s="320" t="s">
        <v>400</v>
      </c>
      <c r="D124" s="320">
        <v>270</v>
      </c>
      <c r="E124" s="321">
        <v>1040276.2</v>
      </c>
      <c r="F124" s="322">
        <v>0.11559999999999999</v>
      </c>
      <c r="G124" s="329">
        <v>1040276.2</v>
      </c>
      <c r="H124" s="86"/>
    </row>
    <row r="125" spans="1:8" x14ac:dyDescent="0.35">
      <c r="A125" s="315" t="s">
        <v>373</v>
      </c>
      <c r="B125" s="320" t="s">
        <v>98</v>
      </c>
      <c r="C125" s="320" t="s">
        <v>400</v>
      </c>
      <c r="D125" s="320">
        <v>270</v>
      </c>
      <c r="E125" s="321">
        <v>759019.66</v>
      </c>
      <c r="F125" s="322">
        <v>0.11559999999999999</v>
      </c>
      <c r="G125" s="329">
        <v>759019.66</v>
      </c>
      <c r="H125" s="86"/>
    </row>
    <row r="126" spans="1:8" x14ac:dyDescent="0.35">
      <c r="A126" s="315" t="s">
        <v>373</v>
      </c>
      <c r="B126" s="320" t="s">
        <v>98</v>
      </c>
      <c r="C126" s="320" t="s">
        <v>400</v>
      </c>
      <c r="D126" s="320">
        <v>270</v>
      </c>
      <c r="E126" s="321">
        <v>440268.52</v>
      </c>
      <c r="F126" s="322">
        <v>0.11559999999999999</v>
      </c>
      <c r="G126" s="329">
        <v>440268.52</v>
      </c>
      <c r="H126" s="86"/>
    </row>
    <row r="127" spans="1:8" x14ac:dyDescent="0.35">
      <c r="A127" s="315" t="s">
        <v>373</v>
      </c>
      <c r="B127" s="320" t="s">
        <v>98</v>
      </c>
      <c r="C127" s="320" t="s">
        <v>400</v>
      </c>
      <c r="D127" s="320">
        <v>270</v>
      </c>
      <c r="E127" s="321">
        <v>1529680.5</v>
      </c>
      <c r="F127" s="322">
        <v>0.11559999999999999</v>
      </c>
      <c r="G127" s="329">
        <v>1529680.5</v>
      </c>
      <c r="H127" s="86"/>
    </row>
    <row r="128" spans="1:8" x14ac:dyDescent="0.35">
      <c r="A128" s="315" t="s">
        <v>373</v>
      </c>
      <c r="B128" s="320" t="s">
        <v>98</v>
      </c>
      <c r="C128" s="320" t="s">
        <v>400</v>
      </c>
      <c r="D128" s="320">
        <v>270</v>
      </c>
      <c r="E128" s="321">
        <v>446249.89</v>
      </c>
      <c r="F128" s="322">
        <v>0.12</v>
      </c>
      <c r="G128" s="329">
        <v>446249.89</v>
      </c>
      <c r="H128" s="86"/>
    </row>
    <row r="129" spans="1:8" x14ac:dyDescent="0.35">
      <c r="A129" s="315" t="s">
        <v>373</v>
      </c>
      <c r="B129" s="320" t="s">
        <v>98</v>
      </c>
      <c r="C129" s="320" t="s">
        <v>400</v>
      </c>
      <c r="D129" s="320">
        <v>270</v>
      </c>
      <c r="E129" s="321">
        <v>345000</v>
      </c>
      <c r="F129" s="322">
        <v>0.1154</v>
      </c>
      <c r="G129" s="329">
        <v>345000</v>
      </c>
      <c r="H129" s="86"/>
    </row>
    <row r="130" spans="1:8" x14ac:dyDescent="0.35">
      <c r="A130" s="315" t="s">
        <v>373</v>
      </c>
      <c r="B130" s="320" t="s">
        <v>98</v>
      </c>
      <c r="C130" s="320" t="s">
        <v>400</v>
      </c>
      <c r="D130" s="320">
        <v>270</v>
      </c>
      <c r="E130" s="321">
        <v>229510</v>
      </c>
      <c r="F130" s="322">
        <v>0.1154</v>
      </c>
      <c r="G130" s="329">
        <v>229510</v>
      </c>
      <c r="H130" s="86"/>
    </row>
    <row r="131" spans="1:8" x14ac:dyDescent="0.35">
      <c r="A131" s="315"/>
      <c r="B131" s="320"/>
      <c r="C131" s="320"/>
      <c r="D131" s="316"/>
      <c r="E131" s="321"/>
      <c r="F131" s="322"/>
      <c r="G131" s="329"/>
    </row>
    <row r="132" spans="1:8" x14ac:dyDescent="0.35">
      <c r="A132" s="315"/>
      <c r="B132" s="320"/>
      <c r="C132" s="320"/>
      <c r="D132" s="316"/>
      <c r="E132" s="321"/>
      <c r="F132" s="322"/>
      <c r="G132" s="329">
        <f>SUM(G14:G131)</f>
        <v>228515556.62999994</v>
      </c>
    </row>
    <row r="134" spans="1:8" x14ac:dyDescent="0.35">
      <c r="A134" s="301" t="s">
        <v>48</v>
      </c>
      <c r="B134" s="302"/>
      <c r="C134" s="303"/>
      <c r="D134" s="304"/>
      <c r="E134" s="303"/>
      <c r="F134" s="302"/>
      <c r="G134" s="303"/>
    </row>
    <row r="135" spans="1:8" ht="29" x14ac:dyDescent="0.35">
      <c r="A135" s="306" t="s">
        <v>35</v>
      </c>
      <c r="B135" s="308" t="s">
        <v>49</v>
      </c>
      <c r="C135" s="308" t="s">
        <v>50</v>
      </c>
      <c r="D135" s="331" t="s">
        <v>51</v>
      </c>
      <c r="E135" s="308" t="s">
        <v>52</v>
      </c>
      <c r="F135" s="307" t="s">
        <v>37</v>
      </c>
      <c r="G135" s="307" t="s">
        <v>46</v>
      </c>
      <c r="H135" s="308" t="s">
        <v>53</v>
      </c>
    </row>
    <row r="137" spans="1:8" x14ac:dyDescent="0.35">
      <c r="A137" s="288" t="s">
        <v>200</v>
      </c>
    </row>
    <row r="138" spans="1:8" x14ac:dyDescent="0.35">
      <c r="G138" s="7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1474-05B2-426F-8193-A35A07AF1CE0}">
  <dimension ref="A1:L72"/>
  <sheetViews>
    <sheetView zoomScaleNormal="100" workbookViewId="0">
      <pane ySplit="4" topLeftCell="A5" activePane="bottomLeft" state="frozen"/>
      <selection activeCell="B12" sqref="B12"/>
      <selection pane="bottomLeft" activeCell="B12" sqref="B12"/>
    </sheetView>
  </sheetViews>
  <sheetFormatPr defaultColWidth="9.08984375" defaultRowHeight="13" x14ac:dyDescent="0.3"/>
  <cols>
    <col min="1" max="1" width="30.54296875" style="108" customWidth="1"/>
    <col min="2" max="2" width="13.36328125" style="108" customWidth="1"/>
    <col min="3" max="3" width="15.6328125" style="108" bestFit="1" customWidth="1"/>
    <col min="4" max="4" width="17.90625" style="108" bestFit="1" customWidth="1"/>
    <col min="5" max="5" width="10.90625" style="108" customWidth="1"/>
    <col min="6" max="6" width="15.453125" style="109" customWidth="1"/>
    <col min="7" max="7" width="17.54296875" style="109" customWidth="1"/>
    <col min="8" max="8" width="14" style="109" customWidth="1"/>
    <col min="9" max="9" width="13.90625" style="109" customWidth="1"/>
    <col min="10" max="10" width="13.54296875" style="109" customWidth="1"/>
    <col min="11" max="11" width="14.54296875" style="109" bestFit="1" customWidth="1"/>
    <col min="12" max="12" width="15.54296875" style="108" bestFit="1" customWidth="1"/>
    <col min="13" max="16384" width="9.08984375" style="108"/>
  </cols>
  <sheetData>
    <row r="1" spans="1:12" x14ac:dyDescent="0.3">
      <c r="A1" s="107" t="s">
        <v>0</v>
      </c>
    </row>
    <row r="2" spans="1:12" x14ac:dyDescent="0.3">
      <c r="A2" s="111" t="s">
        <v>201</v>
      </c>
    </row>
    <row r="3" spans="1:12" x14ac:dyDescent="0.3">
      <c r="A3" s="111"/>
    </row>
    <row r="4" spans="1:12" ht="26" x14ac:dyDescent="0.3">
      <c r="A4" s="125" t="s">
        <v>2</v>
      </c>
      <c r="B4" s="125" t="s">
        <v>3</v>
      </c>
      <c r="C4" s="125" t="s">
        <v>4</v>
      </c>
      <c r="D4" s="125" t="s">
        <v>5</v>
      </c>
      <c r="E4" s="125" t="s">
        <v>6</v>
      </c>
      <c r="F4" s="126" t="s">
        <v>308</v>
      </c>
      <c r="G4" s="126" t="s">
        <v>7</v>
      </c>
      <c r="H4" s="126" t="s">
        <v>8</v>
      </c>
      <c r="I4" s="126" t="s">
        <v>9</v>
      </c>
      <c r="J4" s="126" t="s">
        <v>10</v>
      </c>
      <c r="K4" s="126" t="s">
        <v>309</v>
      </c>
      <c r="L4" s="108" t="s">
        <v>310</v>
      </c>
    </row>
    <row r="5" spans="1:12" x14ac:dyDescent="0.3">
      <c r="A5" s="256" t="s">
        <v>85</v>
      </c>
      <c r="B5" s="256" t="s">
        <v>311</v>
      </c>
      <c r="C5" s="256" t="s">
        <v>312</v>
      </c>
      <c r="D5" s="256" t="s">
        <v>313</v>
      </c>
      <c r="E5" s="256" t="s">
        <v>93</v>
      </c>
      <c r="F5" s="258">
        <v>121597.29</v>
      </c>
      <c r="G5" s="258">
        <v>760.85</v>
      </c>
      <c r="H5" s="258">
        <v>0</v>
      </c>
      <c r="I5" s="258">
        <v>122358.14</v>
      </c>
      <c r="J5" s="258">
        <v>0</v>
      </c>
      <c r="K5" s="259">
        <f>+I5</f>
        <v>122358.14</v>
      </c>
    </row>
    <row r="6" spans="1:12" x14ac:dyDescent="0.3">
      <c r="A6" s="256" t="s">
        <v>85</v>
      </c>
      <c r="B6" s="256" t="s">
        <v>71</v>
      </c>
      <c r="C6" s="256" t="s">
        <v>92</v>
      </c>
      <c r="D6" s="256" t="s">
        <v>314</v>
      </c>
      <c r="E6" s="256" t="s">
        <v>93</v>
      </c>
      <c r="F6" s="258">
        <v>69791.45</v>
      </c>
      <c r="G6" s="258">
        <v>0</v>
      </c>
      <c r="H6" s="258">
        <v>-250</v>
      </c>
      <c r="I6" s="258">
        <v>69541.45</v>
      </c>
      <c r="J6" s="258">
        <f>+I6</f>
        <v>69541.45</v>
      </c>
      <c r="K6" s="259">
        <v>0</v>
      </c>
    </row>
    <row r="7" spans="1:12" x14ac:dyDescent="0.3">
      <c r="A7" s="256" t="s">
        <v>85</v>
      </c>
      <c r="B7" s="256" t="s">
        <v>71</v>
      </c>
      <c r="C7" s="256" t="s">
        <v>92</v>
      </c>
      <c r="D7" s="256" t="s">
        <v>315</v>
      </c>
      <c r="E7" s="256" t="s">
        <v>93</v>
      </c>
      <c r="F7" s="258">
        <v>25998.48</v>
      </c>
      <c r="G7" s="258">
        <v>0</v>
      </c>
      <c r="H7" s="258">
        <v>-250</v>
      </c>
      <c r="I7" s="258">
        <v>25748.48</v>
      </c>
      <c r="J7" s="258">
        <f>+I7</f>
        <v>25748.48</v>
      </c>
      <c r="K7" s="259">
        <v>0</v>
      </c>
    </row>
    <row r="8" spans="1:12" x14ac:dyDescent="0.3">
      <c r="A8" s="256" t="s">
        <v>85</v>
      </c>
      <c r="B8" s="256" t="s">
        <v>58</v>
      </c>
      <c r="C8" s="256" t="s">
        <v>92</v>
      </c>
      <c r="D8" s="256" t="s">
        <v>316</v>
      </c>
      <c r="E8" s="256" t="s">
        <v>93</v>
      </c>
      <c r="F8" s="258">
        <v>-12733558.390000001</v>
      </c>
      <c r="G8" s="258">
        <v>152887177.72</v>
      </c>
      <c r="H8" s="258">
        <v>-33636116.5</v>
      </c>
      <c r="I8" s="258">
        <v>106517502.83</v>
      </c>
      <c r="J8" s="258">
        <v>0</v>
      </c>
      <c r="K8" s="259">
        <f>+I8+13500000</f>
        <v>120017502.83</v>
      </c>
      <c r="L8" s="108" t="s">
        <v>317</v>
      </c>
    </row>
    <row r="9" spans="1:12" x14ac:dyDescent="0.3">
      <c r="A9" s="256" t="s">
        <v>85</v>
      </c>
      <c r="B9" s="256" t="s">
        <v>211</v>
      </c>
      <c r="C9" s="256" t="s">
        <v>92</v>
      </c>
      <c r="D9" s="256" t="s">
        <v>318</v>
      </c>
      <c r="E9" s="256" t="s">
        <v>93</v>
      </c>
      <c r="F9" s="258">
        <v>93500</v>
      </c>
      <c r="G9" s="258">
        <v>0</v>
      </c>
      <c r="H9" s="258">
        <v>-2000</v>
      </c>
      <c r="I9" s="258">
        <v>91500</v>
      </c>
      <c r="J9" s="258">
        <v>0</v>
      </c>
      <c r="K9" s="259">
        <f>+I9</f>
        <v>91500</v>
      </c>
    </row>
    <row r="10" spans="1:12" x14ac:dyDescent="0.3">
      <c r="A10" s="256" t="s">
        <v>85</v>
      </c>
      <c r="B10" s="256" t="s">
        <v>112</v>
      </c>
      <c r="C10" s="256" t="s">
        <v>92</v>
      </c>
      <c r="D10" s="256" t="s">
        <v>319</v>
      </c>
      <c r="E10" s="256" t="s">
        <v>93</v>
      </c>
      <c r="F10" s="258">
        <v>3704954.3</v>
      </c>
      <c r="G10" s="258">
        <v>11500000</v>
      </c>
      <c r="H10" s="258">
        <v>-9261636.5700000003</v>
      </c>
      <c r="I10" s="258">
        <v>5943317.7300000004</v>
      </c>
      <c r="J10" s="258">
        <v>0</v>
      </c>
      <c r="K10" s="259">
        <f>+I10</f>
        <v>5943317.7300000004</v>
      </c>
    </row>
    <row r="11" spans="1:12" x14ac:dyDescent="0.3">
      <c r="A11" s="256" t="s">
        <v>85</v>
      </c>
      <c r="B11" s="256" t="s">
        <v>364</v>
      </c>
      <c r="C11" s="256" t="s">
        <v>92</v>
      </c>
      <c r="D11" s="256" t="s">
        <v>320</v>
      </c>
      <c r="E11" s="256" t="s">
        <v>93</v>
      </c>
      <c r="F11" s="258">
        <v>0</v>
      </c>
      <c r="G11" s="258">
        <v>0</v>
      </c>
      <c r="H11" s="258">
        <v>0</v>
      </c>
      <c r="I11" s="258">
        <v>0</v>
      </c>
      <c r="J11" s="258"/>
      <c r="K11" s="259">
        <v>0</v>
      </c>
    </row>
    <row r="12" spans="1:12" x14ac:dyDescent="0.3">
      <c r="A12" s="256" t="s">
        <v>85</v>
      </c>
      <c r="B12" s="256" t="s">
        <v>321</v>
      </c>
      <c r="C12" s="256" t="s">
        <v>92</v>
      </c>
      <c r="D12" s="256" t="s">
        <v>322</v>
      </c>
      <c r="E12" s="256" t="s">
        <v>93</v>
      </c>
      <c r="F12" s="258">
        <v>40847.089999999997</v>
      </c>
      <c r="G12" s="258">
        <v>0</v>
      </c>
      <c r="H12" s="258">
        <v>0</v>
      </c>
      <c r="I12" s="258">
        <v>40847.089999999997</v>
      </c>
      <c r="J12" s="258">
        <f>+I12</f>
        <v>40847.089999999997</v>
      </c>
      <c r="K12" s="259">
        <v>0</v>
      </c>
    </row>
    <row r="13" spans="1:12" ht="15" customHeight="1" x14ac:dyDescent="0.3">
      <c r="A13" s="250"/>
      <c r="B13" s="250"/>
      <c r="C13" s="250"/>
      <c r="D13" s="250"/>
      <c r="E13" s="250"/>
      <c r="F13" s="251"/>
      <c r="G13" s="251"/>
      <c r="H13" s="251"/>
      <c r="I13" s="251"/>
      <c r="J13" s="251"/>
      <c r="K13" s="252"/>
    </row>
    <row r="14" spans="1:12" x14ac:dyDescent="0.3">
      <c r="A14" s="256" t="s">
        <v>57</v>
      </c>
      <c r="B14" s="256" t="s">
        <v>58</v>
      </c>
      <c r="C14" s="256" t="s">
        <v>92</v>
      </c>
      <c r="D14" s="257" t="s">
        <v>323</v>
      </c>
      <c r="E14" s="256" t="s">
        <v>93</v>
      </c>
      <c r="F14" s="258">
        <v>-50253100.869999997</v>
      </c>
      <c r="G14" s="258">
        <v>19302504</v>
      </c>
      <c r="H14" s="258">
        <v>-7533328.1200000001</v>
      </c>
      <c r="I14" s="258">
        <v>-38483924.990000002</v>
      </c>
      <c r="J14" s="258">
        <v>0</v>
      </c>
      <c r="K14" s="259">
        <f>50000000+I14</f>
        <v>11516075.009999998</v>
      </c>
      <c r="L14" s="142" t="s">
        <v>324</v>
      </c>
    </row>
    <row r="15" spans="1:12" x14ac:dyDescent="0.3">
      <c r="A15" s="256" t="s">
        <v>57</v>
      </c>
      <c r="B15" s="256" t="s">
        <v>58</v>
      </c>
      <c r="C15" s="256" t="s">
        <v>92</v>
      </c>
      <c r="D15" s="257" t="s">
        <v>325</v>
      </c>
      <c r="E15" s="256" t="s">
        <v>93</v>
      </c>
      <c r="F15" s="258">
        <v>18772472.219999999</v>
      </c>
      <c r="G15" s="258">
        <v>1754726.25</v>
      </c>
      <c r="H15" s="258">
        <v>-18550499.960000001</v>
      </c>
      <c r="I15" s="258">
        <v>1976698.51</v>
      </c>
      <c r="J15" s="258">
        <v>0</v>
      </c>
      <c r="K15" s="259">
        <f>+I15</f>
        <v>1976698.51</v>
      </c>
      <c r="L15" s="142"/>
    </row>
    <row r="16" spans="1:12" x14ac:dyDescent="0.3">
      <c r="A16" s="256" t="s">
        <v>57</v>
      </c>
      <c r="B16" s="256" t="s">
        <v>58</v>
      </c>
      <c r="C16" s="256" t="s">
        <v>92</v>
      </c>
      <c r="D16" s="257" t="s">
        <v>326</v>
      </c>
      <c r="E16" s="256" t="s">
        <v>99</v>
      </c>
      <c r="F16" s="258">
        <f>8.42*319.34</f>
        <v>2688.8427999999999</v>
      </c>
      <c r="G16" s="258">
        <f>2812.7*319.34</f>
        <v>898207.6179999999</v>
      </c>
      <c r="H16" s="258">
        <v>0</v>
      </c>
      <c r="I16" s="258">
        <f>2821.12*319.34</f>
        <v>900896.46079999988</v>
      </c>
      <c r="J16" s="258">
        <v>0</v>
      </c>
      <c r="K16" s="259">
        <f>+I16</f>
        <v>900896.46079999988</v>
      </c>
      <c r="L16" s="142" t="s">
        <v>327</v>
      </c>
    </row>
    <row r="17" spans="1:12" x14ac:dyDescent="0.3">
      <c r="A17" s="256" t="s">
        <v>57</v>
      </c>
      <c r="B17" s="256" t="s">
        <v>112</v>
      </c>
      <c r="C17" s="256" t="s">
        <v>92</v>
      </c>
      <c r="D17" s="260">
        <v>1030018169</v>
      </c>
      <c r="E17" s="256" t="s">
        <v>93</v>
      </c>
      <c r="F17" s="258">
        <v>4197213.6500000004</v>
      </c>
      <c r="G17" s="258">
        <v>2160220.91</v>
      </c>
      <c r="H17" s="258">
        <v>-6267826.0599999996</v>
      </c>
      <c r="I17" s="258">
        <v>89608.5</v>
      </c>
      <c r="J17" s="258">
        <v>0</v>
      </c>
      <c r="K17" s="259">
        <f>+I17</f>
        <v>89608.5</v>
      </c>
      <c r="L17" s="142"/>
    </row>
    <row r="18" spans="1:12" x14ac:dyDescent="0.3">
      <c r="A18" s="256" t="s">
        <v>57</v>
      </c>
      <c r="B18" s="256" t="s">
        <v>112</v>
      </c>
      <c r="C18" s="256" t="s">
        <v>92</v>
      </c>
      <c r="D18" s="260">
        <v>1000911976</v>
      </c>
      <c r="E18" s="256" t="s">
        <v>93</v>
      </c>
      <c r="F18" s="258">
        <v>4845741.9000000004</v>
      </c>
      <c r="G18" s="258">
        <v>30000000</v>
      </c>
      <c r="H18" s="258">
        <v>-26822613.23</v>
      </c>
      <c r="I18" s="258">
        <v>8023128.6699999999</v>
      </c>
      <c r="J18" s="258">
        <v>0</v>
      </c>
      <c r="K18" s="259">
        <f>+I18</f>
        <v>8023128.6699999999</v>
      </c>
      <c r="L18" s="142"/>
    </row>
    <row r="19" spans="1:12" x14ac:dyDescent="0.3">
      <c r="A19" s="256" t="s">
        <v>57</v>
      </c>
      <c r="B19" s="256" t="s">
        <v>71</v>
      </c>
      <c r="C19" s="256" t="s">
        <v>92</v>
      </c>
      <c r="D19" s="257" t="s">
        <v>328</v>
      </c>
      <c r="E19" s="256" t="s">
        <v>93</v>
      </c>
      <c r="F19" s="258">
        <v>406158.75</v>
      </c>
      <c r="G19" s="258">
        <v>0</v>
      </c>
      <c r="H19" s="258">
        <v>-250</v>
      </c>
      <c r="I19" s="258">
        <v>405908.75</v>
      </c>
      <c r="J19" s="258">
        <f>+I19</f>
        <v>405908.75</v>
      </c>
      <c r="K19" s="259">
        <v>0</v>
      </c>
      <c r="L19" s="142"/>
    </row>
    <row r="20" spans="1:12" x14ac:dyDescent="0.3">
      <c r="A20" s="256" t="s">
        <v>57</v>
      </c>
      <c r="B20" s="256" t="s">
        <v>209</v>
      </c>
      <c r="C20" s="256" t="s">
        <v>92</v>
      </c>
      <c r="D20" s="257" t="s">
        <v>329</v>
      </c>
      <c r="E20" s="256" t="s">
        <v>93</v>
      </c>
      <c r="F20" s="258">
        <v>112918.7</v>
      </c>
      <c r="G20" s="258">
        <v>0</v>
      </c>
      <c r="H20" s="258">
        <v>0</v>
      </c>
      <c r="I20" s="258">
        <v>112918.7</v>
      </c>
      <c r="J20" s="258">
        <f>+I20</f>
        <v>112918.7</v>
      </c>
      <c r="K20" s="259">
        <v>0</v>
      </c>
      <c r="L20" s="142"/>
    </row>
    <row r="21" spans="1:12" x14ac:dyDescent="0.3">
      <c r="A21" s="256" t="s">
        <v>57</v>
      </c>
      <c r="B21" s="256" t="s">
        <v>103</v>
      </c>
      <c r="C21" s="256" t="s">
        <v>92</v>
      </c>
      <c r="D21" s="257" t="s">
        <v>330</v>
      </c>
      <c r="E21" s="256" t="s">
        <v>93</v>
      </c>
      <c r="F21" s="258">
        <v>82500</v>
      </c>
      <c r="G21" s="258">
        <v>0</v>
      </c>
      <c r="H21" s="258">
        <v>-2000</v>
      </c>
      <c r="I21" s="258">
        <v>80500</v>
      </c>
      <c r="J21" s="258">
        <v>0</v>
      </c>
      <c r="K21" s="259">
        <f>+I21</f>
        <v>80500</v>
      </c>
      <c r="L21" s="142"/>
    </row>
    <row r="22" spans="1:12" ht="15" customHeight="1" x14ac:dyDescent="0.3">
      <c r="A22" s="250"/>
      <c r="B22" s="250"/>
      <c r="C22" s="250"/>
      <c r="D22" s="253"/>
      <c r="E22" s="250"/>
      <c r="F22" s="251"/>
      <c r="G22" s="251"/>
      <c r="H22" s="251"/>
      <c r="I22" s="251"/>
      <c r="J22" s="251"/>
      <c r="K22" s="252"/>
    </row>
    <row r="23" spans="1:12" x14ac:dyDescent="0.3">
      <c r="A23" s="256" t="s">
        <v>67</v>
      </c>
      <c r="B23" s="256" t="s">
        <v>58</v>
      </c>
      <c r="C23" s="256" t="s">
        <v>92</v>
      </c>
      <c r="D23" s="257">
        <v>2930021019</v>
      </c>
      <c r="E23" s="256" t="s">
        <v>93</v>
      </c>
      <c r="F23" s="258">
        <v>-20903508.16</v>
      </c>
      <c r="G23" s="258">
        <v>73023525.109999999</v>
      </c>
      <c r="H23" s="258">
        <v>-75531498.129999995</v>
      </c>
      <c r="I23" s="258">
        <v>-23411481.18</v>
      </c>
      <c r="J23" s="258">
        <v>0</v>
      </c>
      <c r="K23" s="259">
        <f>+I23+25000000</f>
        <v>1588518.8200000003</v>
      </c>
      <c r="L23" s="108" t="s">
        <v>331</v>
      </c>
    </row>
    <row r="24" spans="1:12" x14ac:dyDescent="0.3">
      <c r="A24" s="256" t="s">
        <v>67</v>
      </c>
      <c r="B24" s="256" t="s">
        <v>58</v>
      </c>
      <c r="C24" s="256" t="s">
        <v>92</v>
      </c>
      <c r="D24" s="257">
        <v>2930021205</v>
      </c>
      <c r="E24" s="256" t="s">
        <v>93</v>
      </c>
      <c r="F24" s="258">
        <v>1444179.75</v>
      </c>
      <c r="G24" s="258">
        <v>38872460.329999998</v>
      </c>
      <c r="H24" s="258">
        <v>-39150496.939999998</v>
      </c>
      <c r="I24" s="258">
        <v>1166143.1399999999</v>
      </c>
      <c r="J24" s="258">
        <v>0</v>
      </c>
      <c r="K24" s="259">
        <f>+I24</f>
        <v>1166143.1399999999</v>
      </c>
    </row>
    <row r="25" spans="1:12" x14ac:dyDescent="0.3">
      <c r="A25" s="256" t="s">
        <v>67</v>
      </c>
      <c r="B25" s="256" t="s">
        <v>58</v>
      </c>
      <c r="C25" s="256" t="s">
        <v>92</v>
      </c>
      <c r="D25" s="257">
        <v>11810000270</v>
      </c>
      <c r="E25" s="256" t="s">
        <v>93</v>
      </c>
      <c r="F25" s="258">
        <v>43982.95</v>
      </c>
      <c r="G25" s="258">
        <v>8032312.4800000004</v>
      </c>
      <c r="H25" s="258">
        <v>-7000750</v>
      </c>
      <c r="I25" s="258">
        <v>1075545.43</v>
      </c>
      <c r="J25" s="258">
        <v>0</v>
      </c>
      <c r="K25" s="259">
        <f>+I25</f>
        <v>1075545.43</v>
      </c>
    </row>
    <row r="26" spans="1:12" x14ac:dyDescent="0.3">
      <c r="A26" s="256" t="s">
        <v>67</v>
      </c>
      <c r="B26" s="256" t="s">
        <v>58</v>
      </c>
      <c r="C26" s="256" t="s">
        <v>92</v>
      </c>
      <c r="D26" s="257" t="s">
        <v>332</v>
      </c>
      <c r="E26" s="256" t="s">
        <v>333</v>
      </c>
      <c r="F26" s="258">
        <f>1490*430.41</f>
        <v>641310.9</v>
      </c>
      <c r="G26" s="258">
        <v>0</v>
      </c>
      <c r="H26" s="258">
        <v>0</v>
      </c>
      <c r="I26" s="258">
        <f>1490*430.41</f>
        <v>641310.9</v>
      </c>
      <c r="J26" s="258">
        <f>650*430.41</f>
        <v>279766.5</v>
      </c>
      <c r="K26" s="259">
        <f>+I26-J26</f>
        <v>361544.4</v>
      </c>
      <c r="L26" s="108" t="s">
        <v>334</v>
      </c>
    </row>
    <row r="27" spans="1:12" x14ac:dyDescent="0.3">
      <c r="A27" s="256" t="s">
        <v>67</v>
      </c>
      <c r="B27" s="256" t="s">
        <v>58</v>
      </c>
      <c r="C27" s="256" t="s">
        <v>92</v>
      </c>
      <c r="D27" s="257" t="s">
        <v>335</v>
      </c>
      <c r="E27" s="256" t="s">
        <v>99</v>
      </c>
      <c r="F27" s="258">
        <f>2202.75*319.34</f>
        <v>703426.18499999994</v>
      </c>
      <c r="G27" s="258">
        <f>140.74*319.34</f>
        <v>44943.911599999999</v>
      </c>
      <c r="H27" s="258">
        <f>+-2200*319.34</f>
        <v>-702548</v>
      </c>
      <c r="I27" s="258">
        <f>143.49*319.34</f>
        <v>45822.096599999997</v>
      </c>
      <c r="J27" s="258">
        <v>0</v>
      </c>
      <c r="K27" s="259">
        <f>+I27</f>
        <v>45822.096599999997</v>
      </c>
      <c r="L27" s="108" t="s">
        <v>327</v>
      </c>
    </row>
    <row r="28" spans="1:12" x14ac:dyDescent="0.3">
      <c r="A28" s="256" t="s">
        <v>67</v>
      </c>
      <c r="B28" s="256" t="s">
        <v>58</v>
      </c>
      <c r="C28" s="256" t="s">
        <v>92</v>
      </c>
      <c r="D28" s="257" t="s">
        <v>336</v>
      </c>
      <c r="E28" s="256" t="s">
        <v>337</v>
      </c>
      <c r="F28" s="258">
        <f>4840.53*372.68</f>
        <v>1803968.7204</v>
      </c>
      <c r="G28" s="258">
        <f>15235.06*372.68</f>
        <v>5677802.1607999997</v>
      </c>
      <c r="H28" s="258">
        <f>+-17820*372.68</f>
        <v>-6641157.6000000006</v>
      </c>
      <c r="I28" s="258">
        <f>2255.59*372.68</f>
        <v>840613.28120000008</v>
      </c>
      <c r="J28" s="258">
        <v>0</v>
      </c>
      <c r="K28" s="259">
        <f>+I28</f>
        <v>840613.28120000008</v>
      </c>
      <c r="L28" s="108" t="s">
        <v>338</v>
      </c>
    </row>
    <row r="29" spans="1:12" x14ac:dyDescent="0.3">
      <c r="A29" s="256" t="s">
        <v>67</v>
      </c>
      <c r="B29" s="256" t="s">
        <v>112</v>
      </c>
      <c r="C29" s="256" t="s">
        <v>92</v>
      </c>
      <c r="D29" s="257">
        <v>1140033233</v>
      </c>
      <c r="E29" s="256" t="s">
        <v>93</v>
      </c>
      <c r="F29" s="258">
        <v>188267.5</v>
      </c>
      <c r="G29" s="259">
        <v>5600000</v>
      </c>
      <c r="H29" s="259">
        <v>-5400950</v>
      </c>
      <c r="I29" s="258">
        <v>387317.5</v>
      </c>
      <c r="J29" s="258">
        <v>0</v>
      </c>
      <c r="K29" s="259">
        <f>+I29</f>
        <v>387317.5</v>
      </c>
    </row>
    <row r="30" spans="1:12" x14ac:dyDescent="0.3">
      <c r="A30" s="256" t="s">
        <v>67</v>
      </c>
      <c r="B30" s="256" t="s">
        <v>112</v>
      </c>
      <c r="C30" s="256" t="s">
        <v>92</v>
      </c>
      <c r="D30" s="257">
        <v>1000914779</v>
      </c>
      <c r="E30" s="256" t="s">
        <v>93</v>
      </c>
      <c r="F30" s="258">
        <v>1111071.58</v>
      </c>
      <c r="G30" s="258">
        <v>19900000</v>
      </c>
      <c r="H30" s="258">
        <v>-17530441.210000001</v>
      </c>
      <c r="I30" s="258">
        <v>3480630.37</v>
      </c>
      <c r="J30" s="258">
        <v>0</v>
      </c>
      <c r="K30" s="259">
        <f>+I30</f>
        <v>3480630.37</v>
      </c>
    </row>
    <row r="31" spans="1:12" x14ac:dyDescent="0.3">
      <c r="A31" s="256" t="s">
        <v>67</v>
      </c>
      <c r="B31" s="256" t="s">
        <v>209</v>
      </c>
      <c r="C31" s="256" t="s">
        <v>92</v>
      </c>
      <c r="D31" s="257" t="s">
        <v>339</v>
      </c>
      <c r="E31" s="256" t="s">
        <v>93</v>
      </c>
      <c r="F31" s="258">
        <v>316622.87</v>
      </c>
      <c r="G31" s="258">
        <v>0</v>
      </c>
      <c r="H31" s="258">
        <v>0</v>
      </c>
      <c r="I31" s="258">
        <v>316622.87</v>
      </c>
      <c r="J31" s="258">
        <f>+I31</f>
        <v>316622.87</v>
      </c>
      <c r="K31" s="259">
        <v>0</v>
      </c>
    </row>
    <row r="32" spans="1:12" x14ac:dyDescent="0.3">
      <c r="A32" s="256" t="s">
        <v>67</v>
      </c>
      <c r="B32" s="256" t="s">
        <v>311</v>
      </c>
      <c r="C32" s="256" t="s">
        <v>312</v>
      </c>
      <c r="D32" s="257" t="s">
        <v>340</v>
      </c>
      <c r="E32" s="256" t="s">
        <v>93</v>
      </c>
      <c r="F32" s="258">
        <v>208371.21</v>
      </c>
      <c r="G32" s="258">
        <v>1329.81</v>
      </c>
      <c r="H32" s="258">
        <v>0</v>
      </c>
      <c r="I32" s="258">
        <v>209701.01</v>
      </c>
      <c r="J32" s="258">
        <v>0</v>
      </c>
      <c r="K32" s="259">
        <f>+I32</f>
        <v>209701.01</v>
      </c>
    </row>
    <row r="33" spans="1:12" x14ac:dyDescent="0.3">
      <c r="A33" s="256" t="s">
        <v>67</v>
      </c>
      <c r="B33" s="256" t="s">
        <v>71</v>
      </c>
      <c r="C33" s="256" t="s">
        <v>92</v>
      </c>
      <c r="D33" s="257" t="s">
        <v>341</v>
      </c>
      <c r="E33" s="256" t="s">
        <v>93</v>
      </c>
      <c r="F33" s="258">
        <v>182659.82</v>
      </c>
      <c r="G33" s="258">
        <v>18000000</v>
      </c>
      <c r="H33" s="258">
        <v>-18021547.289999999</v>
      </c>
      <c r="I33" s="258">
        <v>161112.53</v>
      </c>
      <c r="J33" s="258">
        <v>0</v>
      </c>
      <c r="K33" s="259">
        <f>+I33</f>
        <v>161112.53</v>
      </c>
    </row>
    <row r="34" spans="1:12" x14ac:dyDescent="0.3">
      <c r="A34" s="256" t="s">
        <v>67</v>
      </c>
      <c r="B34" s="256" t="s">
        <v>71</v>
      </c>
      <c r="C34" s="256" t="s">
        <v>92</v>
      </c>
      <c r="D34" s="257" t="s">
        <v>342</v>
      </c>
      <c r="E34" s="256" t="s">
        <v>93</v>
      </c>
      <c r="F34" s="258">
        <v>42000</v>
      </c>
      <c r="G34" s="258">
        <v>0</v>
      </c>
      <c r="H34" s="258">
        <v>-250</v>
      </c>
      <c r="I34" s="258">
        <v>41750</v>
      </c>
      <c r="J34" s="258">
        <f>+I34</f>
        <v>41750</v>
      </c>
      <c r="K34" s="259">
        <v>0</v>
      </c>
    </row>
    <row r="35" spans="1:12" x14ac:dyDescent="0.3">
      <c r="A35" s="256" t="s">
        <v>67</v>
      </c>
      <c r="B35" s="256" t="s">
        <v>245</v>
      </c>
      <c r="C35" s="256" t="s">
        <v>92</v>
      </c>
      <c r="D35" s="261" t="s">
        <v>343</v>
      </c>
      <c r="E35" s="256" t="s">
        <v>93</v>
      </c>
      <c r="F35" s="258">
        <v>1831817.23</v>
      </c>
      <c r="G35" s="258">
        <v>807108.32</v>
      </c>
      <c r="H35" s="258">
        <v>-1801100</v>
      </c>
      <c r="I35" s="258">
        <v>837825.55</v>
      </c>
      <c r="J35" s="258">
        <v>0</v>
      </c>
      <c r="K35" s="259">
        <f>+I35</f>
        <v>837825.55</v>
      </c>
    </row>
    <row r="36" spans="1:12" x14ac:dyDescent="0.3">
      <c r="A36" s="256" t="s">
        <v>67</v>
      </c>
      <c r="B36" s="256" t="s">
        <v>103</v>
      </c>
      <c r="C36" s="256" t="s">
        <v>92</v>
      </c>
      <c r="D36" s="261" t="s">
        <v>344</v>
      </c>
      <c r="E36" s="256" t="s">
        <v>93</v>
      </c>
      <c r="F36" s="258">
        <v>94500</v>
      </c>
      <c r="G36" s="258">
        <v>0</v>
      </c>
      <c r="H36" s="258">
        <v>-2000</v>
      </c>
      <c r="I36" s="258">
        <v>92500</v>
      </c>
      <c r="J36" s="258">
        <v>0</v>
      </c>
      <c r="K36" s="259">
        <f>+I36</f>
        <v>92500</v>
      </c>
    </row>
    <row r="37" spans="1:12" ht="9" customHeight="1" x14ac:dyDescent="0.3">
      <c r="A37" s="250"/>
      <c r="B37" s="250"/>
      <c r="C37" s="250"/>
      <c r="D37" s="254"/>
      <c r="E37" s="250"/>
      <c r="F37" s="251"/>
      <c r="G37" s="251"/>
      <c r="H37" s="251"/>
      <c r="I37" s="251"/>
      <c r="J37" s="251"/>
      <c r="K37" s="252"/>
    </row>
    <row r="38" spans="1:12" x14ac:dyDescent="0.3">
      <c r="A38" s="256" t="s">
        <v>76</v>
      </c>
      <c r="B38" s="256" t="s">
        <v>58</v>
      </c>
      <c r="C38" s="256" t="s">
        <v>92</v>
      </c>
      <c r="D38" s="257" t="s">
        <v>345</v>
      </c>
      <c r="E38" s="256" t="s">
        <v>93</v>
      </c>
      <c r="F38" s="258">
        <v>-12429323.199999999</v>
      </c>
      <c r="G38" s="258">
        <v>30000</v>
      </c>
      <c r="H38" s="258">
        <v>-84114.45</v>
      </c>
      <c r="I38" s="258">
        <v>-12483437.65</v>
      </c>
      <c r="J38" s="258">
        <v>0</v>
      </c>
      <c r="K38" s="259">
        <f>+I38+12500000</f>
        <v>16562.349999999627</v>
      </c>
      <c r="L38" s="108" t="s">
        <v>346</v>
      </c>
    </row>
    <row r="39" spans="1:12" x14ac:dyDescent="0.3">
      <c r="A39" s="256" t="s">
        <v>76</v>
      </c>
      <c r="B39" s="256" t="s">
        <v>58</v>
      </c>
      <c r="C39" s="256" t="s">
        <v>92</v>
      </c>
      <c r="D39" s="257" t="s">
        <v>347</v>
      </c>
      <c r="E39" s="256" t="s">
        <v>93</v>
      </c>
      <c r="F39" s="258">
        <v>2344385.67</v>
      </c>
      <c r="G39" s="258">
        <v>14624877.15</v>
      </c>
      <c r="H39" s="258">
        <v>-14322830.66</v>
      </c>
      <c r="I39" s="258">
        <v>2646432.46</v>
      </c>
      <c r="J39" s="258">
        <v>0</v>
      </c>
      <c r="K39" s="259">
        <f>+I39</f>
        <v>2646432.46</v>
      </c>
    </row>
    <row r="40" spans="1:12" x14ac:dyDescent="0.3">
      <c r="A40" s="256" t="s">
        <v>76</v>
      </c>
      <c r="B40" s="256" t="s">
        <v>112</v>
      </c>
      <c r="C40" s="256" t="s">
        <v>92</v>
      </c>
      <c r="D40" s="257">
        <v>1000923818</v>
      </c>
      <c r="E40" s="256" t="s">
        <v>93</v>
      </c>
      <c r="F40" s="258">
        <v>1544202.12</v>
      </c>
      <c r="G40" s="258">
        <v>14913750</v>
      </c>
      <c r="H40" s="258">
        <v>-11000656.85</v>
      </c>
      <c r="I40" s="258">
        <v>5457295.2699999996</v>
      </c>
      <c r="J40" s="258"/>
      <c r="K40" s="259">
        <f>+I40</f>
        <v>5457295.2699999996</v>
      </c>
    </row>
    <row r="41" spans="1:12" x14ac:dyDescent="0.3">
      <c r="A41" s="256" t="s">
        <v>76</v>
      </c>
      <c r="B41" s="256" t="s">
        <v>77</v>
      </c>
      <c r="C41" s="256" t="s">
        <v>92</v>
      </c>
      <c r="D41" s="257" t="s">
        <v>348</v>
      </c>
      <c r="E41" s="256" t="s">
        <v>93</v>
      </c>
      <c r="F41" s="258">
        <v>-54091557.990000002</v>
      </c>
      <c r="G41" s="258">
        <v>33716586.739999987</v>
      </c>
      <c r="H41" s="258">
        <v>-35506965.289999999</v>
      </c>
      <c r="I41" s="258">
        <v>-55881936.539999999</v>
      </c>
      <c r="J41" s="258">
        <v>0</v>
      </c>
      <c r="K41" s="259">
        <f>+I41+57000000</f>
        <v>1118063.4600000009</v>
      </c>
      <c r="L41" s="108" t="s">
        <v>349</v>
      </c>
    </row>
    <row r="42" spans="1:12" x14ac:dyDescent="0.3">
      <c r="A42" s="256" t="s">
        <v>76</v>
      </c>
      <c r="B42" s="256" t="s">
        <v>77</v>
      </c>
      <c r="C42" s="256" t="s">
        <v>92</v>
      </c>
      <c r="D42" s="257" t="s">
        <v>350</v>
      </c>
      <c r="E42" s="256" t="s">
        <v>93</v>
      </c>
      <c r="F42" s="258">
        <v>22061.57</v>
      </c>
      <c r="G42" s="258">
        <v>0</v>
      </c>
      <c r="H42" s="258">
        <v>-950</v>
      </c>
      <c r="I42" s="258">
        <v>21111.57</v>
      </c>
      <c r="J42" s="258">
        <v>0</v>
      </c>
      <c r="K42" s="259">
        <f>+I42</f>
        <v>21111.57</v>
      </c>
    </row>
    <row r="43" spans="1:12" x14ac:dyDescent="0.3">
      <c r="A43" s="256" t="s">
        <v>76</v>
      </c>
      <c r="B43" s="256" t="s">
        <v>77</v>
      </c>
      <c r="C43" s="256" t="s">
        <v>92</v>
      </c>
      <c r="D43" s="257" t="s">
        <v>351</v>
      </c>
      <c r="E43" s="256" t="s">
        <v>93</v>
      </c>
      <c r="F43" s="258">
        <v>27581.360000000001</v>
      </c>
      <c r="G43" s="258">
        <v>0</v>
      </c>
      <c r="H43" s="258">
        <v>-1050</v>
      </c>
      <c r="I43" s="258">
        <v>26531.360000000001</v>
      </c>
      <c r="J43" s="258">
        <v>0</v>
      </c>
      <c r="K43" s="259">
        <f>+I43</f>
        <v>26531.360000000001</v>
      </c>
    </row>
    <row r="44" spans="1:12" x14ac:dyDescent="0.3">
      <c r="A44" s="256" t="s">
        <v>76</v>
      </c>
      <c r="B44" s="256" t="s">
        <v>77</v>
      </c>
      <c r="C44" s="256" t="s">
        <v>92</v>
      </c>
      <c r="D44" s="257" t="s">
        <v>352</v>
      </c>
      <c r="E44" s="256" t="s">
        <v>99</v>
      </c>
      <c r="F44" s="258">
        <f>1712.99*319.34</f>
        <v>547026.22659999994</v>
      </c>
      <c r="G44" s="258">
        <f>435*319.34</f>
        <v>138912.9</v>
      </c>
      <c r="H44" s="258">
        <f>-1652*319.34</f>
        <v>-527549.67999999993</v>
      </c>
      <c r="I44" s="258">
        <f>495.99*319.34</f>
        <v>158389.4466</v>
      </c>
      <c r="J44" s="258">
        <v>0</v>
      </c>
      <c r="K44" s="259">
        <f>+I44</f>
        <v>158389.4466</v>
      </c>
      <c r="L44" s="108" t="s">
        <v>327</v>
      </c>
    </row>
    <row r="45" spans="1:12" x14ac:dyDescent="0.3">
      <c r="A45" s="256" t="s">
        <v>76</v>
      </c>
      <c r="B45" s="256" t="s">
        <v>71</v>
      </c>
      <c r="C45" s="256" t="s">
        <v>92</v>
      </c>
      <c r="D45" s="257" t="s">
        <v>353</v>
      </c>
      <c r="E45" s="256" t="s">
        <v>93</v>
      </c>
      <c r="F45" s="258">
        <v>97669</v>
      </c>
      <c r="G45" s="258">
        <v>0</v>
      </c>
      <c r="H45" s="258">
        <v>0</v>
      </c>
      <c r="I45" s="258">
        <v>97669</v>
      </c>
      <c r="J45" s="258">
        <f>+I45</f>
        <v>97669</v>
      </c>
      <c r="K45" s="259">
        <v>0</v>
      </c>
    </row>
    <row r="46" spans="1:12" ht="9" customHeight="1" x14ac:dyDescent="0.3">
      <c r="A46" s="250"/>
      <c r="B46" s="250"/>
      <c r="C46" s="250"/>
      <c r="D46" s="253"/>
      <c r="E46" s="250"/>
      <c r="F46" s="251"/>
      <c r="G46" s="251"/>
      <c r="H46" s="251"/>
      <c r="I46" s="251"/>
      <c r="J46" s="251"/>
      <c r="K46" s="252"/>
    </row>
    <row r="47" spans="1:12" x14ac:dyDescent="0.3">
      <c r="A47" s="256" t="s">
        <v>354</v>
      </c>
      <c r="B47" s="256" t="s">
        <v>112</v>
      </c>
      <c r="C47" s="256" t="s">
        <v>92</v>
      </c>
      <c r="D47" s="260">
        <v>1000925102</v>
      </c>
      <c r="E47" s="256" t="s">
        <v>93</v>
      </c>
      <c r="F47" s="258">
        <v>1117022.06</v>
      </c>
      <c r="G47" s="258">
        <v>11600000</v>
      </c>
      <c r="H47" s="258">
        <v>-11631180.09</v>
      </c>
      <c r="I47" s="258">
        <v>1085841.97</v>
      </c>
      <c r="J47" s="258">
        <v>0</v>
      </c>
      <c r="K47" s="259">
        <f>+I47</f>
        <v>1085841.97</v>
      </c>
    </row>
    <row r="48" spans="1:12" x14ac:dyDescent="0.3">
      <c r="A48" s="256" t="s">
        <v>354</v>
      </c>
      <c r="B48" s="256" t="s">
        <v>77</v>
      </c>
      <c r="C48" s="256" t="s">
        <v>92</v>
      </c>
      <c r="D48" s="257" t="s">
        <v>355</v>
      </c>
      <c r="E48" s="256" t="s">
        <v>93</v>
      </c>
      <c r="F48" s="258">
        <v>18700</v>
      </c>
      <c r="G48" s="258">
        <v>0</v>
      </c>
      <c r="H48" s="258">
        <v>0</v>
      </c>
      <c r="I48" s="258">
        <f>+F48</f>
        <v>18700</v>
      </c>
      <c r="J48" s="258"/>
      <c r="K48" s="259">
        <f>+I48</f>
        <v>18700</v>
      </c>
    </row>
    <row r="49" spans="1:12" x14ac:dyDescent="0.3">
      <c r="A49" s="119"/>
      <c r="B49" s="119"/>
      <c r="C49" s="119"/>
      <c r="D49" s="119"/>
      <c r="E49" s="119"/>
      <c r="F49" s="255"/>
      <c r="G49" s="255"/>
      <c r="H49" s="255"/>
      <c r="I49" s="255"/>
      <c r="J49" s="255"/>
      <c r="K49" s="255"/>
    </row>
    <row r="50" spans="1:12" x14ac:dyDescent="0.3">
      <c r="A50" s="107" t="s">
        <v>11</v>
      </c>
      <c r="B50" s="119"/>
      <c r="C50" s="119"/>
      <c r="D50" s="119"/>
      <c r="E50" s="119"/>
      <c r="F50" s="120"/>
      <c r="G50" s="120"/>
      <c r="H50" s="120"/>
      <c r="I50" s="120"/>
      <c r="J50" s="120"/>
    </row>
    <row r="51" spans="1:12" x14ac:dyDescent="0.3">
      <c r="A51" s="111" t="s">
        <v>213</v>
      </c>
      <c r="L51" s="188"/>
    </row>
    <row r="52" spans="1:12" x14ac:dyDescent="0.3">
      <c r="A52" s="111"/>
      <c r="B52" s="122" t="s">
        <v>13</v>
      </c>
      <c r="C52" s="122" t="s">
        <v>14</v>
      </c>
      <c r="D52" s="122" t="s">
        <v>15</v>
      </c>
      <c r="E52" s="122" t="s">
        <v>16</v>
      </c>
      <c r="F52" s="123" t="s">
        <v>17</v>
      </c>
      <c r="G52" s="123" t="s">
        <v>18</v>
      </c>
      <c r="H52" s="123" t="s">
        <v>19</v>
      </c>
      <c r="I52" s="123" t="s">
        <v>20</v>
      </c>
      <c r="J52" s="123" t="s">
        <v>21</v>
      </c>
    </row>
    <row r="53" spans="1:12" ht="26" x14ac:dyDescent="0.3">
      <c r="A53" s="125" t="s">
        <v>22</v>
      </c>
      <c r="B53" s="125" t="s">
        <v>23</v>
      </c>
      <c r="C53" s="125" t="s">
        <v>24</v>
      </c>
      <c r="D53" s="125" t="s">
        <v>25</v>
      </c>
      <c r="E53" s="125" t="s">
        <v>26</v>
      </c>
      <c r="F53" s="126" t="s">
        <v>27</v>
      </c>
      <c r="G53" s="126" t="s">
        <v>28</v>
      </c>
      <c r="H53" s="126" t="s">
        <v>29</v>
      </c>
      <c r="I53" s="126" t="s">
        <v>30</v>
      </c>
      <c r="J53" s="126" t="s">
        <v>31</v>
      </c>
    </row>
    <row r="54" spans="1:12" x14ac:dyDescent="0.3">
      <c r="A54" s="119" t="s">
        <v>32</v>
      </c>
      <c r="B54" s="119"/>
      <c r="C54" s="119"/>
      <c r="D54" s="119"/>
      <c r="E54" s="119"/>
      <c r="F54" s="120"/>
      <c r="G54" s="120"/>
      <c r="H54" s="120"/>
      <c r="I54" s="120"/>
      <c r="J54" s="120"/>
    </row>
    <row r="61" spans="1:12" x14ac:dyDescent="0.3">
      <c r="A61" s="107" t="s">
        <v>33</v>
      </c>
    </row>
    <row r="63" spans="1:12" x14ac:dyDescent="0.3">
      <c r="A63" s="128" t="s">
        <v>34</v>
      </c>
      <c r="B63" s="129"/>
      <c r="C63" s="130"/>
      <c r="D63" s="131"/>
      <c r="E63" s="133"/>
      <c r="F63" s="132"/>
      <c r="G63" s="161"/>
      <c r="H63" s="134"/>
      <c r="I63" s="161"/>
    </row>
    <row r="64" spans="1:12" ht="39" x14ac:dyDescent="0.3">
      <c r="A64" s="136" t="s">
        <v>35</v>
      </c>
      <c r="B64" s="137" t="s">
        <v>3</v>
      </c>
      <c r="C64" s="137" t="s">
        <v>36</v>
      </c>
      <c r="D64" s="137" t="s">
        <v>37</v>
      </c>
      <c r="E64" s="139" t="s">
        <v>38</v>
      </c>
      <c r="F64" s="138" t="s">
        <v>39</v>
      </c>
      <c r="G64" s="138" t="s">
        <v>40</v>
      </c>
      <c r="H64" s="138" t="s">
        <v>41</v>
      </c>
      <c r="I64" s="138" t="s">
        <v>42</v>
      </c>
    </row>
    <row r="67" spans="1:8" x14ac:dyDescent="0.3">
      <c r="A67" s="128" t="s">
        <v>43</v>
      </c>
      <c r="B67" s="149"/>
      <c r="C67" s="150"/>
      <c r="D67" s="128"/>
      <c r="E67" s="152"/>
      <c r="F67" s="151"/>
      <c r="G67" s="153"/>
    </row>
    <row r="68" spans="1:8" ht="39" x14ac:dyDescent="0.3">
      <c r="A68" s="136" t="s">
        <v>35</v>
      </c>
      <c r="B68" s="137" t="s">
        <v>3</v>
      </c>
      <c r="C68" s="137" t="s">
        <v>44</v>
      </c>
      <c r="D68" s="137" t="s">
        <v>37</v>
      </c>
      <c r="E68" s="139" t="s">
        <v>45</v>
      </c>
      <c r="F68" s="165" t="s">
        <v>46</v>
      </c>
      <c r="G68" s="138" t="s">
        <v>47</v>
      </c>
    </row>
    <row r="71" spans="1:8" x14ac:dyDescent="0.3">
      <c r="A71" s="128" t="s">
        <v>48</v>
      </c>
      <c r="B71" s="129"/>
      <c r="C71" s="130"/>
      <c r="D71" s="131"/>
      <c r="E71" s="130"/>
      <c r="F71" s="132"/>
      <c r="G71" s="161"/>
    </row>
    <row r="72" spans="1:8" ht="26" x14ac:dyDescent="0.3">
      <c r="A72" s="136" t="s">
        <v>35</v>
      </c>
      <c r="B72" s="162" t="s">
        <v>49</v>
      </c>
      <c r="C72" s="162" t="s">
        <v>50</v>
      </c>
      <c r="D72" s="163" t="s">
        <v>51</v>
      </c>
      <c r="E72" s="162" t="s">
        <v>52</v>
      </c>
      <c r="F72" s="165" t="s">
        <v>37</v>
      </c>
      <c r="G72" s="165" t="s">
        <v>46</v>
      </c>
      <c r="H72" s="138" t="s">
        <v>53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14D7-D190-4960-8E3E-34A3FDD60025}">
  <dimension ref="A3:K37"/>
  <sheetViews>
    <sheetView workbookViewId="0">
      <selection activeCell="E34" sqref="E34"/>
    </sheetView>
  </sheetViews>
  <sheetFormatPr defaultRowHeight="14.5" x14ac:dyDescent="0.35"/>
  <cols>
    <col min="1" max="1" width="32.81640625" customWidth="1"/>
    <col min="2" max="2" width="14.453125" customWidth="1"/>
    <col min="3" max="3" width="16.54296875" customWidth="1"/>
    <col min="4" max="4" width="16.1796875" bestFit="1" customWidth="1"/>
    <col min="5" max="5" width="12.81640625" customWidth="1"/>
    <col min="6" max="6" width="15.1796875" customWidth="1"/>
    <col min="7" max="7" width="15.81640625" customWidth="1"/>
    <col min="8" max="8" width="16.54296875" customWidth="1"/>
    <col min="9" max="9" width="13" customWidth="1"/>
    <col min="11" max="11" width="12.81640625" customWidth="1"/>
  </cols>
  <sheetData>
    <row r="3" spans="1:11" ht="21" x14ac:dyDescent="0.35">
      <c r="A3" s="4" t="s">
        <v>33</v>
      </c>
    </row>
    <row r="5" spans="1:11" x14ac:dyDescent="0.35">
      <c r="A5" s="6" t="s">
        <v>34</v>
      </c>
      <c r="B5" s="7"/>
      <c r="C5" s="8"/>
      <c r="D5" s="9"/>
      <c r="E5" s="10"/>
      <c r="F5" s="7"/>
      <c r="G5" s="8"/>
      <c r="H5" s="11"/>
      <c r="I5" s="12"/>
    </row>
    <row r="6" spans="1:11" ht="43.5" x14ac:dyDescent="0.35">
      <c r="A6" s="13" t="s">
        <v>35</v>
      </c>
      <c r="B6" s="14" t="s">
        <v>3</v>
      </c>
      <c r="C6" s="14" t="s">
        <v>36</v>
      </c>
      <c r="D6" s="14" t="s">
        <v>37</v>
      </c>
      <c r="E6" s="15" t="s">
        <v>38</v>
      </c>
      <c r="F6" s="16" t="s">
        <v>54</v>
      </c>
      <c r="G6" s="16" t="s">
        <v>40</v>
      </c>
      <c r="H6" s="16" t="s">
        <v>41</v>
      </c>
      <c r="I6" s="15" t="s">
        <v>55</v>
      </c>
      <c r="K6" s="16" t="s">
        <v>56</v>
      </c>
    </row>
    <row r="7" spans="1:11" ht="4.5" customHeight="1" x14ac:dyDescent="0.35">
      <c r="A7" s="21"/>
      <c r="B7" s="22"/>
      <c r="C7" s="14"/>
      <c r="D7" s="14"/>
      <c r="E7" s="15"/>
      <c r="F7" s="16"/>
      <c r="G7" s="16"/>
      <c r="H7" s="16"/>
      <c r="I7" s="15"/>
      <c r="K7" s="23"/>
    </row>
    <row r="8" spans="1:11" x14ac:dyDescent="0.35">
      <c r="A8" s="392" t="s">
        <v>57</v>
      </c>
      <c r="B8" s="395" t="s">
        <v>58</v>
      </c>
      <c r="C8" s="24" t="s">
        <v>59</v>
      </c>
      <c r="D8" s="25" t="s">
        <v>60</v>
      </c>
      <c r="E8" s="26">
        <v>844400000</v>
      </c>
      <c r="F8" s="27">
        <v>45863</v>
      </c>
      <c r="G8" s="28" t="s">
        <v>61</v>
      </c>
      <c r="H8" s="29" t="s">
        <v>62</v>
      </c>
      <c r="I8" s="26">
        <v>776260000</v>
      </c>
      <c r="K8" s="30">
        <v>798660000</v>
      </c>
    </row>
    <row r="9" spans="1:11" x14ac:dyDescent="0.35">
      <c r="A9" s="393"/>
      <c r="B9" s="396"/>
      <c r="C9" s="24" t="s">
        <v>59</v>
      </c>
      <c r="D9" s="25" t="s">
        <v>60</v>
      </c>
      <c r="E9" s="26">
        <v>540500000</v>
      </c>
      <c r="F9" s="27">
        <v>45863</v>
      </c>
      <c r="G9" s="28" t="s">
        <v>61</v>
      </c>
      <c r="H9" s="29" t="s">
        <v>62</v>
      </c>
      <c r="I9" s="26">
        <v>494650000</v>
      </c>
      <c r="K9" s="30">
        <v>510050000</v>
      </c>
    </row>
    <row r="10" spans="1:11" x14ac:dyDescent="0.35">
      <c r="A10" s="393"/>
      <c r="B10" s="396"/>
      <c r="C10" s="24" t="s">
        <v>63</v>
      </c>
      <c r="D10" s="25" t="s">
        <v>64</v>
      </c>
      <c r="E10" s="26">
        <v>533000000</v>
      </c>
      <c r="F10" s="27">
        <v>45863</v>
      </c>
      <c r="G10" s="31">
        <v>0.08</v>
      </c>
      <c r="H10" s="29" t="s">
        <v>65</v>
      </c>
      <c r="I10" s="26">
        <v>324110000</v>
      </c>
      <c r="K10" s="30">
        <v>338110000</v>
      </c>
    </row>
    <row r="11" spans="1:11" x14ac:dyDescent="0.35">
      <c r="A11" s="393"/>
      <c r="B11" s="396"/>
      <c r="C11" s="24" t="s">
        <v>59</v>
      </c>
      <c r="D11" s="25" t="s">
        <v>66</v>
      </c>
      <c r="E11" s="26">
        <v>100000000</v>
      </c>
      <c r="F11" s="27">
        <v>45925</v>
      </c>
      <c r="G11" s="28" t="s">
        <v>61</v>
      </c>
      <c r="H11" s="29" t="s">
        <v>62</v>
      </c>
      <c r="I11" s="26">
        <v>97600000</v>
      </c>
      <c r="K11" s="30">
        <v>0</v>
      </c>
    </row>
    <row r="12" spans="1:11" x14ac:dyDescent="0.35">
      <c r="A12" s="394"/>
      <c r="B12" s="397"/>
      <c r="C12" s="24" t="s">
        <v>59</v>
      </c>
      <c r="D12" s="25" t="s">
        <v>60</v>
      </c>
      <c r="E12" s="26">
        <v>63500000</v>
      </c>
      <c r="F12" s="27">
        <v>45863</v>
      </c>
      <c r="G12" s="28" t="s">
        <v>61</v>
      </c>
      <c r="H12" s="29" t="s">
        <v>62</v>
      </c>
      <c r="I12" s="26">
        <v>62100000</v>
      </c>
      <c r="K12" s="30">
        <v>0</v>
      </c>
    </row>
    <row r="13" spans="1:11" ht="6.75" customHeight="1" x14ac:dyDescent="0.35">
      <c r="A13" s="24"/>
      <c r="B13" s="25"/>
      <c r="C13" s="25"/>
      <c r="D13" s="25"/>
      <c r="E13" s="26"/>
      <c r="F13" s="29"/>
      <c r="G13" s="29"/>
      <c r="H13" s="29"/>
      <c r="I13" s="26"/>
      <c r="K13" s="30"/>
    </row>
    <row r="14" spans="1:11" x14ac:dyDescent="0.35">
      <c r="A14" s="392" t="s">
        <v>67</v>
      </c>
      <c r="B14" s="395" t="s">
        <v>58</v>
      </c>
      <c r="C14" s="24" t="s">
        <v>59</v>
      </c>
      <c r="D14" s="25" t="s">
        <v>68</v>
      </c>
      <c r="E14" s="26">
        <v>210400000</v>
      </c>
      <c r="F14" s="27">
        <v>45894</v>
      </c>
      <c r="G14" s="28" t="s">
        <v>61</v>
      </c>
      <c r="H14" s="29" t="s">
        <v>62</v>
      </c>
      <c r="I14" s="26">
        <v>178600000</v>
      </c>
      <c r="K14" s="30">
        <v>189100000</v>
      </c>
    </row>
    <row r="15" spans="1:11" x14ac:dyDescent="0.35">
      <c r="A15" s="393"/>
      <c r="B15" s="396"/>
      <c r="C15" s="24" t="s">
        <v>59</v>
      </c>
      <c r="D15" s="25" t="s">
        <v>68</v>
      </c>
      <c r="E15" s="26">
        <v>140000000</v>
      </c>
      <c r="F15" s="27">
        <v>45894</v>
      </c>
      <c r="G15" s="28" t="s">
        <v>61</v>
      </c>
      <c r="H15" s="29" t="s">
        <v>62</v>
      </c>
      <c r="I15" s="26">
        <v>123100000</v>
      </c>
      <c r="K15" s="30">
        <v>130000000</v>
      </c>
    </row>
    <row r="16" spans="1:11" x14ac:dyDescent="0.35">
      <c r="A16" s="393"/>
      <c r="B16" s="396"/>
      <c r="C16" s="24" t="s">
        <v>63</v>
      </c>
      <c r="D16" s="25" t="s">
        <v>69</v>
      </c>
      <c r="E16" s="26">
        <v>95000000</v>
      </c>
      <c r="F16" s="27">
        <v>45894</v>
      </c>
      <c r="G16" s="31">
        <v>0.08</v>
      </c>
      <c r="H16" s="29" t="s">
        <v>70</v>
      </c>
      <c r="I16" s="26">
        <v>65030000</v>
      </c>
      <c r="K16" s="30">
        <v>74630000</v>
      </c>
    </row>
    <row r="17" spans="1:11" x14ac:dyDescent="0.35">
      <c r="A17" s="393"/>
      <c r="B17" s="397"/>
      <c r="C17" s="24" t="s">
        <v>59</v>
      </c>
      <c r="D17" s="25" t="s">
        <v>66</v>
      </c>
      <c r="E17" s="26">
        <v>100000000</v>
      </c>
      <c r="F17" s="27">
        <v>45925</v>
      </c>
      <c r="G17" s="28" t="s">
        <v>61</v>
      </c>
      <c r="H17" s="29" t="s">
        <v>62</v>
      </c>
      <c r="I17" s="26">
        <v>97600000</v>
      </c>
      <c r="K17" s="30">
        <v>0</v>
      </c>
    </row>
    <row r="18" spans="1:11" x14ac:dyDescent="0.35">
      <c r="A18" s="393"/>
      <c r="B18" s="395" t="s">
        <v>71</v>
      </c>
      <c r="C18" s="24" t="s">
        <v>72</v>
      </c>
      <c r="D18" s="25" t="s">
        <v>73</v>
      </c>
      <c r="E18" s="26">
        <v>837150000</v>
      </c>
      <c r="F18" s="27">
        <v>45413</v>
      </c>
      <c r="G18" s="28" t="s">
        <v>74</v>
      </c>
      <c r="H18" s="29" t="s">
        <v>75</v>
      </c>
      <c r="I18" s="26">
        <v>483800979.88999999</v>
      </c>
      <c r="K18" s="30">
        <v>713810950.39999998</v>
      </c>
    </row>
    <row r="19" spans="1:11" x14ac:dyDescent="0.35">
      <c r="A19" s="394"/>
      <c r="B19" s="397"/>
      <c r="C19" s="24" t="s">
        <v>72</v>
      </c>
      <c r="D19" s="25" t="s">
        <v>73</v>
      </c>
      <c r="E19" s="26">
        <v>169000000</v>
      </c>
      <c r="F19" s="27">
        <v>45413</v>
      </c>
      <c r="G19" s="31">
        <v>0.06</v>
      </c>
      <c r="H19" s="29" t="s">
        <v>75</v>
      </c>
      <c r="I19" s="26">
        <v>87867499.390000001</v>
      </c>
      <c r="K19" s="30">
        <v>134614313.91</v>
      </c>
    </row>
    <row r="20" spans="1:11" ht="3.75" customHeight="1" x14ac:dyDescent="0.35">
      <c r="A20" s="32"/>
      <c r="B20" s="33"/>
      <c r="C20" s="25"/>
      <c r="D20" s="25"/>
      <c r="E20" s="26"/>
      <c r="F20" s="29"/>
      <c r="G20" s="29"/>
      <c r="H20" s="29"/>
      <c r="I20" s="26"/>
    </row>
    <row r="21" spans="1:11" x14ac:dyDescent="0.35">
      <c r="A21" s="398" t="s">
        <v>76</v>
      </c>
      <c r="B21" s="395" t="s">
        <v>77</v>
      </c>
      <c r="C21" s="24" t="s">
        <v>59</v>
      </c>
      <c r="D21" s="25" t="s">
        <v>75</v>
      </c>
      <c r="E21" s="26">
        <v>77000000</v>
      </c>
      <c r="F21" s="27">
        <v>45475</v>
      </c>
      <c r="G21" s="29" t="s">
        <v>78</v>
      </c>
      <c r="H21" s="29" t="s">
        <v>79</v>
      </c>
      <c r="I21" s="26">
        <v>14446469.489999998</v>
      </c>
      <c r="K21" s="30">
        <v>34811905.039999999</v>
      </c>
    </row>
    <row r="22" spans="1:11" ht="29" x14ac:dyDescent="0.35">
      <c r="A22" s="398"/>
      <c r="B22" s="397"/>
      <c r="C22" s="34" t="s">
        <v>80</v>
      </c>
      <c r="D22" s="25" t="s">
        <v>81</v>
      </c>
      <c r="E22" s="26">
        <v>40000000</v>
      </c>
      <c r="F22" s="27">
        <v>46079</v>
      </c>
      <c r="G22" s="29" t="s">
        <v>78</v>
      </c>
      <c r="H22" s="35" t="s">
        <v>82</v>
      </c>
      <c r="I22" s="26">
        <v>40000000</v>
      </c>
      <c r="K22" s="30">
        <v>0</v>
      </c>
    </row>
    <row r="24" spans="1:11" x14ac:dyDescent="0.35">
      <c r="A24" s="6" t="s">
        <v>43</v>
      </c>
      <c r="B24" s="17"/>
      <c r="C24" s="18"/>
      <c r="D24" s="6"/>
      <c r="E24" s="19"/>
      <c r="F24" s="17"/>
      <c r="G24" s="18"/>
    </row>
    <row r="25" spans="1:11" ht="43.5" x14ac:dyDescent="0.35">
      <c r="A25" s="13" t="s">
        <v>35</v>
      </c>
      <c r="B25" s="14" t="s">
        <v>3</v>
      </c>
      <c r="C25" s="14" t="s">
        <v>44</v>
      </c>
      <c r="D25" s="14" t="s">
        <v>37</v>
      </c>
      <c r="E25" s="15" t="s">
        <v>45</v>
      </c>
      <c r="F25" s="14" t="s">
        <v>46</v>
      </c>
      <c r="G25" s="16" t="s">
        <v>83</v>
      </c>
    </row>
    <row r="26" spans="1:11" x14ac:dyDescent="0.35">
      <c r="A26" s="24" t="s">
        <v>57</v>
      </c>
      <c r="B26" s="28" t="s">
        <v>58</v>
      </c>
      <c r="C26" s="28" t="s">
        <v>84</v>
      </c>
      <c r="D26" s="28" t="s">
        <v>82</v>
      </c>
      <c r="E26" s="30">
        <v>50000000</v>
      </c>
      <c r="F26" s="28" t="s">
        <v>61</v>
      </c>
      <c r="G26" s="30">
        <v>38483924.990000002</v>
      </c>
    </row>
    <row r="27" spans="1:11" x14ac:dyDescent="0.35">
      <c r="A27" s="24" t="s">
        <v>67</v>
      </c>
      <c r="B27" s="28" t="s">
        <v>58</v>
      </c>
      <c r="C27" s="28" t="s">
        <v>84</v>
      </c>
      <c r="D27" s="28" t="s">
        <v>82</v>
      </c>
      <c r="E27" s="30">
        <v>25000000</v>
      </c>
      <c r="F27" s="28" t="s">
        <v>61</v>
      </c>
      <c r="G27" s="30">
        <v>23411481.18</v>
      </c>
    </row>
    <row r="28" spans="1:11" x14ac:dyDescent="0.35">
      <c r="A28" s="24" t="s">
        <v>85</v>
      </c>
      <c r="B28" s="28" t="s">
        <v>58</v>
      </c>
      <c r="C28" s="28" t="s">
        <v>84</v>
      </c>
      <c r="D28" s="28" t="s">
        <v>82</v>
      </c>
      <c r="E28" s="30">
        <v>13500000</v>
      </c>
      <c r="F28" s="28" t="s">
        <v>61</v>
      </c>
      <c r="G28" s="30">
        <v>0</v>
      </c>
    </row>
    <row r="29" spans="1:11" x14ac:dyDescent="0.35">
      <c r="A29" s="386" t="s">
        <v>76</v>
      </c>
      <c r="B29" s="28" t="s">
        <v>58</v>
      </c>
      <c r="C29" s="28" t="s">
        <v>84</v>
      </c>
      <c r="D29" s="28" t="s">
        <v>82</v>
      </c>
      <c r="E29" s="30">
        <v>12500000</v>
      </c>
      <c r="F29" s="28" t="s">
        <v>61</v>
      </c>
      <c r="G29" s="30">
        <v>12483437.65</v>
      </c>
    </row>
    <row r="30" spans="1:11" x14ac:dyDescent="0.35">
      <c r="A30" s="387"/>
      <c r="B30" s="28" t="s">
        <v>77</v>
      </c>
      <c r="C30" s="28" t="s">
        <v>84</v>
      </c>
      <c r="D30" s="28" t="s">
        <v>82</v>
      </c>
      <c r="E30" s="30">
        <v>57000000</v>
      </c>
      <c r="F30" s="28" t="s">
        <v>78</v>
      </c>
      <c r="G30" s="30">
        <v>55881936.539999999</v>
      </c>
    </row>
    <row r="32" spans="1:11" x14ac:dyDescent="0.35">
      <c r="A32" s="6" t="s">
        <v>48</v>
      </c>
      <c r="B32" s="7"/>
      <c r="C32" s="8"/>
      <c r="D32" s="9"/>
      <c r="E32" s="8"/>
      <c r="F32" s="7"/>
      <c r="G32" s="8"/>
    </row>
    <row r="33" spans="1:8" ht="29" x14ac:dyDescent="0.35">
      <c r="A33" s="13" t="s">
        <v>35</v>
      </c>
      <c r="B33" s="16" t="s">
        <v>49</v>
      </c>
      <c r="C33" s="16" t="s">
        <v>50</v>
      </c>
      <c r="D33" s="20" t="s">
        <v>51</v>
      </c>
      <c r="E33" s="16" t="s">
        <v>52</v>
      </c>
      <c r="F33" s="14" t="s">
        <v>37</v>
      </c>
      <c r="G33" s="14" t="s">
        <v>46</v>
      </c>
      <c r="H33" s="16" t="s">
        <v>53</v>
      </c>
    </row>
    <row r="34" spans="1:8" x14ac:dyDescent="0.35">
      <c r="A34" s="24" t="s">
        <v>85</v>
      </c>
      <c r="B34" s="28" t="s">
        <v>58</v>
      </c>
      <c r="C34" s="36">
        <v>22622704.539999999</v>
      </c>
      <c r="D34" s="37">
        <v>46138</v>
      </c>
      <c r="E34" s="37">
        <v>46229</v>
      </c>
      <c r="F34" s="28" t="s">
        <v>86</v>
      </c>
      <c r="G34" s="31">
        <v>7.0000000000000007E-2</v>
      </c>
      <c r="H34" s="28" t="s">
        <v>84</v>
      </c>
    </row>
    <row r="35" spans="1:8" x14ac:dyDescent="0.35">
      <c r="A35" s="388" t="s">
        <v>76</v>
      </c>
      <c r="B35" s="390" t="s">
        <v>58</v>
      </c>
      <c r="C35" s="30">
        <v>11228460.73</v>
      </c>
      <c r="D35" s="37">
        <v>46090</v>
      </c>
      <c r="E35" s="37">
        <v>46182</v>
      </c>
      <c r="F35" s="28" t="s">
        <v>86</v>
      </c>
      <c r="G35" s="31">
        <v>7.0000000000000007E-2</v>
      </c>
      <c r="H35" s="28" t="s">
        <v>84</v>
      </c>
    </row>
    <row r="36" spans="1:8" x14ac:dyDescent="0.35">
      <c r="A36" s="389"/>
      <c r="B36" s="391"/>
      <c r="C36" s="30">
        <v>9007267.6699999999</v>
      </c>
      <c r="D36" s="37">
        <v>46096</v>
      </c>
      <c r="E36" s="37">
        <v>46188</v>
      </c>
      <c r="F36" s="28" t="s">
        <v>86</v>
      </c>
      <c r="G36" s="31">
        <v>7.0000000000000007E-2</v>
      </c>
      <c r="H36" s="28" t="s">
        <v>84</v>
      </c>
    </row>
    <row r="37" spans="1:8" x14ac:dyDescent="0.35">
      <c r="A37" s="23"/>
      <c r="B37" s="23"/>
      <c r="C37" s="23"/>
      <c r="D37" s="23"/>
      <c r="E37" s="23"/>
      <c r="F37" s="23"/>
      <c r="G37" s="23"/>
      <c r="H37" s="23"/>
    </row>
  </sheetData>
  <mergeCells count="10">
    <mergeCell ref="A29:A30"/>
    <mergeCell ref="A35:A36"/>
    <mergeCell ref="B35:B36"/>
    <mergeCell ref="A8:A12"/>
    <mergeCell ref="B8:B12"/>
    <mergeCell ref="A14:A19"/>
    <mergeCell ref="B14:B17"/>
    <mergeCell ref="B18:B19"/>
    <mergeCell ref="A21:A22"/>
    <mergeCell ref="B21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231-43E4-417B-A7CB-26AF1E28399C}">
  <dimension ref="A1:N58"/>
  <sheetViews>
    <sheetView topLeftCell="A44" workbookViewId="0">
      <selection activeCell="B52" sqref="B52"/>
    </sheetView>
  </sheetViews>
  <sheetFormatPr defaultColWidth="44.81640625" defaultRowHeight="14.5" x14ac:dyDescent="0.35"/>
  <cols>
    <col min="4" max="4" width="44.81640625" style="38"/>
    <col min="13" max="13" width="44.81640625" style="39"/>
  </cols>
  <sheetData>
    <row r="1" spans="1:14" ht="21" x14ac:dyDescent="0.35">
      <c r="A1" s="4" t="s">
        <v>0</v>
      </c>
    </row>
    <row r="2" spans="1:14" ht="16" x14ac:dyDescent="0.35">
      <c r="A2" s="1" t="s">
        <v>1</v>
      </c>
    </row>
    <row r="3" spans="1:14" ht="16" x14ac:dyDescent="0.35">
      <c r="A3" s="1"/>
    </row>
    <row r="4" spans="1:14" ht="16" x14ac:dyDescent="0.35">
      <c r="A4" s="2" t="s">
        <v>2</v>
      </c>
      <c r="B4" s="2" t="s">
        <v>3</v>
      </c>
      <c r="C4" s="2" t="s">
        <v>4</v>
      </c>
      <c r="D4" s="40" t="s">
        <v>5</v>
      </c>
      <c r="E4" s="2" t="s">
        <v>6</v>
      </c>
      <c r="F4" s="2" t="s">
        <v>87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88</v>
      </c>
      <c r="L4" s="41" t="s">
        <v>89</v>
      </c>
    </row>
    <row r="5" spans="1:14" x14ac:dyDescent="0.35">
      <c r="A5" s="42" t="s">
        <v>90</v>
      </c>
      <c r="B5" s="23" t="s">
        <v>91</v>
      </c>
      <c r="C5" s="23" t="s">
        <v>92</v>
      </c>
      <c r="D5" s="43">
        <v>1950000702</v>
      </c>
      <c r="E5" s="23" t="s">
        <v>93</v>
      </c>
      <c r="F5" s="44">
        <v>4724573.3600000003</v>
      </c>
      <c r="G5" s="44"/>
      <c r="H5" s="44"/>
      <c r="I5" s="45">
        <f>F5+G5-H5</f>
        <v>4724573.3600000003</v>
      </c>
      <c r="J5" s="44">
        <v>9000000</v>
      </c>
      <c r="K5" s="46">
        <f>I5</f>
        <v>4724573.3600000003</v>
      </c>
      <c r="L5" s="23"/>
      <c r="M5" s="47">
        <v>46142</v>
      </c>
      <c r="N5" s="48"/>
    </row>
    <row r="6" spans="1:14" x14ac:dyDescent="0.35">
      <c r="A6" s="42" t="s">
        <v>90</v>
      </c>
      <c r="B6" s="23" t="s">
        <v>91</v>
      </c>
      <c r="C6" s="23" t="s">
        <v>94</v>
      </c>
      <c r="D6" s="43" t="s">
        <v>95</v>
      </c>
      <c r="E6" s="23" t="s">
        <v>93</v>
      </c>
      <c r="F6" s="44">
        <v>4684573.3600000003</v>
      </c>
      <c r="G6" s="44"/>
      <c r="H6" s="44"/>
      <c r="I6" s="45">
        <f t="shared" ref="I6:I14" si="0">F6+G6-H6</f>
        <v>4684573.3600000003</v>
      </c>
      <c r="J6" s="49"/>
      <c r="K6" s="46">
        <f t="shared" ref="K6:K21" si="1">I6</f>
        <v>4684573.3600000003</v>
      </c>
      <c r="L6" s="23"/>
      <c r="M6" s="47">
        <v>46142</v>
      </c>
      <c r="N6" s="48"/>
    </row>
    <row r="7" spans="1:14" x14ac:dyDescent="0.35">
      <c r="A7" s="42" t="s">
        <v>90</v>
      </c>
      <c r="B7" s="23" t="s">
        <v>91</v>
      </c>
      <c r="C7" s="23" t="s">
        <v>96</v>
      </c>
      <c r="D7" s="43">
        <v>1103000201</v>
      </c>
      <c r="E7" s="23" t="s">
        <v>93</v>
      </c>
      <c r="F7" s="44">
        <v>15284.1</v>
      </c>
      <c r="G7" s="44"/>
      <c r="H7" s="44"/>
      <c r="I7" s="45">
        <f t="shared" si="0"/>
        <v>15284.1</v>
      </c>
      <c r="J7" s="49"/>
      <c r="K7" s="46">
        <f t="shared" si="1"/>
        <v>15284.1</v>
      </c>
      <c r="L7" s="23"/>
      <c r="N7" s="48"/>
    </row>
    <row r="8" spans="1:14" x14ac:dyDescent="0.35">
      <c r="A8" s="42" t="s">
        <v>90</v>
      </c>
      <c r="B8" s="23" t="s">
        <v>91</v>
      </c>
      <c r="C8" s="23" t="s">
        <v>96</v>
      </c>
      <c r="D8" s="43" t="s">
        <v>97</v>
      </c>
      <c r="E8" s="23" t="s">
        <v>93</v>
      </c>
      <c r="F8" s="44">
        <v>154926.20000000001</v>
      </c>
      <c r="G8" s="44">
        <v>0</v>
      </c>
      <c r="H8" s="44">
        <v>0</v>
      </c>
      <c r="I8" s="45">
        <f>F8</f>
        <v>154926.20000000001</v>
      </c>
      <c r="J8" s="49"/>
      <c r="K8" s="46">
        <f>I8</f>
        <v>154926.20000000001</v>
      </c>
      <c r="L8" s="23"/>
      <c r="N8" s="48"/>
    </row>
    <row r="9" spans="1:14" ht="14.25" customHeight="1" x14ac:dyDescent="0.35">
      <c r="A9" s="42" t="s">
        <v>90</v>
      </c>
      <c r="B9" s="23" t="s">
        <v>98</v>
      </c>
      <c r="C9" s="23" t="s">
        <v>96</v>
      </c>
      <c r="D9" s="50">
        <v>106590006893</v>
      </c>
      <c r="E9" s="23" t="s">
        <v>99</v>
      </c>
      <c r="F9" s="44">
        <v>3761240.98</v>
      </c>
      <c r="G9" s="44"/>
      <c r="H9" s="44">
        <v>0</v>
      </c>
      <c r="I9" s="45">
        <f t="shared" si="0"/>
        <v>3761240.98</v>
      </c>
      <c r="J9" s="49"/>
      <c r="K9" s="46">
        <f t="shared" si="1"/>
        <v>3761240.98</v>
      </c>
      <c r="L9" s="51">
        <v>11897.649999999998</v>
      </c>
      <c r="N9" s="48"/>
    </row>
    <row r="10" spans="1:14" x14ac:dyDescent="0.35">
      <c r="A10" s="42" t="s">
        <v>90</v>
      </c>
      <c r="B10" s="23" t="s">
        <v>98</v>
      </c>
      <c r="C10" s="23" t="s">
        <v>92</v>
      </c>
      <c r="D10" s="50">
        <v>101001103866</v>
      </c>
      <c r="E10" s="23" t="s">
        <v>93</v>
      </c>
      <c r="F10" s="44">
        <v>739788.97</v>
      </c>
      <c r="G10" s="44">
        <v>0</v>
      </c>
      <c r="H10" s="44"/>
      <c r="I10" s="45">
        <f t="shared" si="0"/>
        <v>739788.97</v>
      </c>
      <c r="J10" s="49"/>
      <c r="K10" s="46">
        <f t="shared" si="1"/>
        <v>739788.97</v>
      </c>
      <c r="L10" s="23"/>
      <c r="N10" s="48"/>
    </row>
    <row r="11" spans="1:14" x14ac:dyDescent="0.35">
      <c r="A11" s="42" t="s">
        <v>90</v>
      </c>
      <c r="B11" s="23" t="s">
        <v>100</v>
      </c>
      <c r="C11" s="23" t="s">
        <v>96</v>
      </c>
      <c r="D11" s="43">
        <v>91834522</v>
      </c>
      <c r="E11" s="23" t="s">
        <v>93</v>
      </c>
      <c r="F11" s="44">
        <v>10586.670000000002</v>
      </c>
      <c r="G11" s="44"/>
      <c r="H11" s="44"/>
      <c r="I11" s="45">
        <f t="shared" si="0"/>
        <v>10586.670000000002</v>
      </c>
      <c r="J11" s="49"/>
      <c r="K11" s="46">
        <f t="shared" si="1"/>
        <v>10586.670000000002</v>
      </c>
      <c r="L11" s="23"/>
      <c r="N11" s="48"/>
    </row>
    <row r="12" spans="1:14" x14ac:dyDescent="0.35">
      <c r="A12" s="42" t="s">
        <v>90</v>
      </c>
      <c r="B12" s="23" t="s">
        <v>100</v>
      </c>
      <c r="C12" s="23" t="s">
        <v>92</v>
      </c>
      <c r="D12" s="43">
        <v>91834503</v>
      </c>
      <c r="E12" s="23" t="s">
        <v>93</v>
      </c>
      <c r="F12" s="44">
        <v>331174.84999999998</v>
      </c>
      <c r="G12" s="44">
        <v>19850000</v>
      </c>
      <c r="H12" s="44">
        <v>19859292.449999999</v>
      </c>
      <c r="I12" s="45">
        <f t="shared" si="0"/>
        <v>321882.40000000224</v>
      </c>
      <c r="J12" s="49"/>
      <c r="K12" s="46">
        <f t="shared" si="1"/>
        <v>321882.40000000224</v>
      </c>
      <c r="L12" s="23"/>
      <c r="N12" s="52"/>
    </row>
    <row r="13" spans="1:14" x14ac:dyDescent="0.35">
      <c r="A13" s="42" t="s">
        <v>90</v>
      </c>
      <c r="B13" s="23" t="s">
        <v>58</v>
      </c>
      <c r="C13" s="23" t="s">
        <v>96</v>
      </c>
      <c r="D13" s="43" t="s">
        <v>101</v>
      </c>
      <c r="E13" s="23" t="s">
        <v>99</v>
      </c>
      <c r="F13" s="44">
        <v>5794859.4199999999</v>
      </c>
      <c r="G13" s="44"/>
      <c r="H13" s="44">
        <v>0</v>
      </c>
      <c r="I13" s="45">
        <f t="shared" si="0"/>
        <v>5794859.4199999999</v>
      </c>
      <c r="J13" s="49"/>
      <c r="K13" s="46">
        <f t="shared" si="1"/>
        <v>5794859.4199999999</v>
      </c>
      <c r="L13" s="51">
        <v>18322.800000000003</v>
      </c>
      <c r="N13" s="48"/>
    </row>
    <row r="14" spans="1:14" x14ac:dyDescent="0.35">
      <c r="A14" s="42" t="s">
        <v>90</v>
      </c>
      <c r="B14" s="23" t="s">
        <v>58</v>
      </c>
      <c r="C14" s="23" t="s">
        <v>92</v>
      </c>
      <c r="D14" s="43" t="s">
        <v>102</v>
      </c>
      <c r="E14" s="23" t="s">
        <v>93</v>
      </c>
      <c r="F14" s="44">
        <v>26263</v>
      </c>
      <c r="G14" s="44">
        <v>0</v>
      </c>
      <c r="H14" s="44">
        <v>50</v>
      </c>
      <c r="I14" s="45">
        <f t="shared" si="0"/>
        <v>26213</v>
      </c>
      <c r="J14" s="49"/>
      <c r="K14" s="46">
        <f t="shared" si="1"/>
        <v>26213</v>
      </c>
      <c r="L14" s="23"/>
      <c r="N14" s="48"/>
    </row>
    <row r="15" spans="1:14" x14ac:dyDescent="0.35">
      <c r="A15" s="42" t="s">
        <v>90</v>
      </c>
      <c r="B15" s="23" t="s">
        <v>103</v>
      </c>
      <c r="C15" s="23" t="s">
        <v>92</v>
      </c>
      <c r="D15" s="43" t="s">
        <v>104</v>
      </c>
      <c r="E15" s="23" t="s">
        <v>93</v>
      </c>
      <c r="F15" s="44">
        <v>-10974123.449999999</v>
      </c>
      <c r="G15" s="44">
        <v>0</v>
      </c>
      <c r="H15" s="44">
        <v>569473.79</v>
      </c>
      <c r="I15" s="45">
        <f>F15+G15-H15</f>
        <v>-11543597.239999998</v>
      </c>
      <c r="J15" s="49"/>
      <c r="K15" s="46">
        <f>I15</f>
        <v>-11543597.239999998</v>
      </c>
      <c r="L15" s="23"/>
      <c r="N15" s="48"/>
    </row>
    <row r="16" spans="1:14" x14ac:dyDescent="0.35">
      <c r="A16" s="42" t="s">
        <v>90</v>
      </c>
      <c r="B16" s="23" t="s">
        <v>103</v>
      </c>
      <c r="C16" s="23" t="s">
        <v>92</v>
      </c>
      <c r="D16" s="43" t="s">
        <v>105</v>
      </c>
      <c r="E16" s="23" t="s">
        <v>93</v>
      </c>
      <c r="F16" s="44">
        <v>25000</v>
      </c>
      <c r="G16" s="44">
        <v>0</v>
      </c>
      <c r="H16" s="44">
        <v>0</v>
      </c>
      <c r="I16" s="45">
        <f t="shared" ref="I16:I21" si="2">F16+G16-H16</f>
        <v>25000</v>
      </c>
      <c r="J16" s="49"/>
      <c r="K16" s="46">
        <f t="shared" si="1"/>
        <v>25000</v>
      </c>
      <c r="L16" s="23"/>
      <c r="N16" s="48"/>
    </row>
    <row r="17" spans="1:14" x14ac:dyDescent="0.35">
      <c r="A17" s="42" t="s">
        <v>90</v>
      </c>
      <c r="B17" s="23" t="s">
        <v>103</v>
      </c>
      <c r="C17" s="23" t="s">
        <v>96</v>
      </c>
      <c r="D17" s="43" t="s">
        <v>106</v>
      </c>
      <c r="E17" s="23" t="s">
        <v>99</v>
      </c>
      <c r="F17" s="44">
        <v>54132701.372400053</v>
      </c>
      <c r="G17" s="44"/>
      <c r="H17" s="44"/>
      <c r="I17" s="45">
        <f t="shared" si="2"/>
        <v>54132701.372400053</v>
      </c>
      <c r="J17" s="49"/>
      <c r="K17" s="46">
        <f>I17</f>
        <v>54132701.372400053</v>
      </c>
      <c r="L17" s="51">
        <v>171376.52000000016</v>
      </c>
      <c r="N17" s="48"/>
    </row>
    <row r="18" spans="1:14" x14ac:dyDescent="0.35">
      <c r="A18" s="42" t="s">
        <v>90</v>
      </c>
      <c r="B18" s="23" t="s">
        <v>103</v>
      </c>
      <c r="C18" s="23" t="s">
        <v>107</v>
      </c>
      <c r="D18" s="43" t="s">
        <v>108</v>
      </c>
      <c r="E18" s="23" t="s">
        <v>93</v>
      </c>
      <c r="F18" s="44">
        <v>427148.98</v>
      </c>
      <c r="G18" s="44">
        <v>11427416.279999999</v>
      </c>
      <c r="H18" s="44">
        <v>2801991.09</v>
      </c>
      <c r="I18" s="45">
        <f t="shared" si="2"/>
        <v>9052574.1699999999</v>
      </c>
      <c r="J18" s="49"/>
      <c r="K18" s="46">
        <f t="shared" si="1"/>
        <v>9052574.1699999999</v>
      </c>
      <c r="L18" s="23"/>
      <c r="N18" s="48"/>
    </row>
    <row r="19" spans="1:14" x14ac:dyDescent="0.35">
      <c r="A19" s="42" t="s">
        <v>90</v>
      </c>
      <c r="B19" s="23" t="s">
        <v>109</v>
      </c>
      <c r="C19" s="23" t="s">
        <v>96</v>
      </c>
      <c r="D19" s="43" t="s">
        <v>110</v>
      </c>
      <c r="E19" s="23" t="s">
        <v>93</v>
      </c>
      <c r="F19" s="44">
        <v>225162.66</v>
      </c>
      <c r="G19" s="44">
        <v>369.8</v>
      </c>
      <c r="H19" s="44">
        <v>786.98</v>
      </c>
      <c r="I19" s="45">
        <f t="shared" si="2"/>
        <v>224745.47999999998</v>
      </c>
      <c r="J19" s="49"/>
      <c r="K19" s="46">
        <f t="shared" si="1"/>
        <v>224745.47999999998</v>
      </c>
      <c r="L19" s="23"/>
      <c r="N19" s="48"/>
    </row>
    <row r="20" spans="1:14" x14ac:dyDescent="0.35">
      <c r="A20" s="42" t="s">
        <v>90</v>
      </c>
      <c r="B20" s="23" t="s">
        <v>109</v>
      </c>
      <c r="C20" s="23" t="s">
        <v>92</v>
      </c>
      <c r="D20" s="43" t="s">
        <v>111</v>
      </c>
      <c r="E20" s="23" t="s">
        <v>93</v>
      </c>
      <c r="F20" s="44">
        <v>80386.84</v>
      </c>
      <c r="G20" s="44"/>
      <c r="H20" s="44"/>
      <c r="I20" s="45">
        <f>F20+G20-H20</f>
        <v>80386.84</v>
      </c>
      <c r="J20" s="49"/>
      <c r="K20" s="46">
        <f t="shared" si="1"/>
        <v>80386.84</v>
      </c>
      <c r="L20" s="23"/>
      <c r="N20" s="48"/>
    </row>
    <row r="21" spans="1:14" x14ac:dyDescent="0.35">
      <c r="A21" s="42" t="s">
        <v>90</v>
      </c>
      <c r="B21" s="23" t="s">
        <v>112</v>
      </c>
      <c r="C21" s="23" t="s">
        <v>92</v>
      </c>
      <c r="D21" s="43">
        <v>1680025087</v>
      </c>
      <c r="E21" s="23" t="s">
        <v>93</v>
      </c>
      <c r="F21" s="44">
        <v>6505.38</v>
      </c>
      <c r="G21" s="44">
        <v>0</v>
      </c>
      <c r="H21" s="44"/>
      <c r="I21" s="45">
        <f t="shared" si="2"/>
        <v>6505.38</v>
      </c>
      <c r="J21" s="49"/>
      <c r="K21" s="46">
        <f t="shared" si="1"/>
        <v>6505.38</v>
      </c>
      <c r="L21" s="23"/>
      <c r="N21" s="48"/>
    </row>
    <row r="22" spans="1:14" s="62" customFormat="1" x14ac:dyDescent="0.35">
      <c r="A22" s="53" t="s">
        <v>90</v>
      </c>
      <c r="B22" s="54" t="s">
        <v>112</v>
      </c>
      <c r="C22" s="54" t="s">
        <v>92</v>
      </c>
      <c r="D22" s="55" t="s">
        <v>113</v>
      </c>
      <c r="E22" s="54" t="s">
        <v>93</v>
      </c>
      <c r="F22" s="56">
        <v>22980224.219999999</v>
      </c>
      <c r="G22" s="56"/>
      <c r="H22" s="56">
        <v>0</v>
      </c>
      <c r="I22" s="57">
        <f>F22+G22-H22</f>
        <v>22980224.219999999</v>
      </c>
      <c r="J22" s="58"/>
      <c r="K22" s="59">
        <f>I22</f>
        <v>22980224.219999999</v>
      </c>
      <c r="L22" s="54"/>
      <c r="M22" s="60"/>
      <c r="N22" s="61"/>
    </row>
    <row r="23" spans="1:14" ht="16" x14ac:dyDescent="0.35">
      <c r="A23" s="3"/>
      <c r="B23" s="3"/>
      <c r="C23" s="3"/>
      <c r="D23" s="63"/>
      <c r="E23" s="3"/>
      <c r="F23" s="3"/>
      <c r="G23" s="3"/>
      <c r="H23" s="3"/>
      <c r="I23" s="3"/>
      <c r="J23" s="3"/>
    </row>
    <row r="24" spans="1:14" ht="21" x14ac:dyDescent="0.35">
      <c r="A24" s="4" t="s">
        <v>11</v>
      </c>
      <c r="B24" s="3"/>
      <c r="C24" s="3"/>
      <c r="D24" s="63"/>
      <c r="E24" s="3"/>
      <c r="F24" s="3"/>
      <c r="G24" s="3"/>
      <c r="H24" s="3"/>
      <c r="I24" s="3"/>
      <c r="J24" s="3"/>
    </row>
    <row r="25" spans="1:14" ht="16" x14ac:dyDescent="0.35">
      <c r="A25" s="1" t="s">
        <v>12</v>
      </c>
    </row>
    <row r="26" spans="1:14" ht="16" x14ac:dyDescent="0.35">
      <c r="A26" s="1"/>
      <c r="B26" s="5" t="s">
        <v>13</v>
      </c>
      <c r="C26" s="5" t="s">
        <v>14</v>
      </c>
      <c r="D26" s="38" t="s">
        <v>15</v>
      </c>
      <c r="E26" s="5" t="s">
        <v>16</v>
      </c>
      <c r="F26" s="5" t="s">
        <v>17</v>
      </c>
      <c r="G26" s="5" t="s">
        <v>18</v>
      </c>
      <c r="H26" s="5" t="s">
        <v>19</v>
      </c>
      <c r="I26" s="5" t="s">
        <v>20</v>
      </c>
      <c r="J26" s="5" t="s">
        <v>21</v>
      </c>
    </row>
    <row r="27" spans="1:14" ht="16" x14ac:dyDescent="0.35">
      <c r="A27" s="2" t="s">
        <v>22</v>
      </c>
      <c r="B27" s="2" t="s">
        <v>23</v>
      </c>
      <c r="C27" s="2" t="s">
        <v>24</v>
      </c>
      <c r="D27" s="40" t="s">
        <v>25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</row>
    <row r="28" spans="1:14" ht="16" x14ac:dyDescent="0.35">
      <c r="A28" s="3" t="s">
        <v>32</v>
      </c>
      <c r="B28" s="3"/>
      <c r="C28" s="3"/>
      <c r="D28" s="63"/>
      <c r="E28" s="3"/>
      <c r="F28" s="3"/>
      <c r="G28" s="3"/>
      <c r="H28" s="3"/>
      <c r="I28" s="3"/>
      <c r="J28" s="3"/>
    </row>
    <row r="35" spans="1:13" ht="21" x14ac:dyDescent="0.35">
      <c r="A35" s="4" t="s">
        <v>33</v>
      </c>
    </row>
    <row r="37" spans="1:13" x14ac:dyDescent="0.35">
      <c r="A37" s="6" t="s">
        <v>34</v>
      </c>
      <c r="B37" s="7"/>
      <c r="C37" s="8"/>
      <c r="D37" s="9"/>
      <c r="E37" s="64"/>
      <c r="F37" s="7"/>
      <c r="G37" s="8"/>
      <c r="H37" s="11"/>
      <c r="I37" s="65"/>
    </row>
    <row r="38" spans="1:13" x14ac:dyDescent="0.35">
      <c r="A38" s="13" t="s">
        <v>35</v>
      </c>
      <c r="B38" s="14" t="s">
        <v>3</v>
      </c>
      <c r="C38" s="14" t="s">
        <v>36</v>
      </c>
      <c r="D38" s="13" t="s">
        <v>37</v>
      </c>
      <c r="E38" s="66" t="s">
        <v>38</v>
      </c>
      <c r="F38" s="16" t="s">
        <v>39</v>
      </c>
      <c r="G38" s="16" t="s">
        <v>40</v>
      </c>
      <c r="H38" s="16" t="s">
        <v>41</v>
      </c>
      <c r="I38" s="66" t="s">
        <v>42</v>
      </c>
    </row>
    <row r="41" spans="1:13" x14ac:dyDescent="0.35">
      <c r="A41" s="6" t="s">
        <v>43</v>
      </c>
      <c r="B41" s="17"/>
      <c r="C41" s="18"/>
      <c r="D41" s="6"/>
      <c r="E41" s="67"/>
      <c r="F41" s="17"/>
      <c r="G41" s="18"/>
    </row>
    <row r="42" spans="1:13" x14ac:dyDescent="0.35">
      <c r="A42" s="13" t="s">
        <v>35</v>
      </c>
      <c r="B42" s="14" t="s">
        <v>3</v>
      </c>
      <c r="C42" s="14" t="s">
        <v>44</v>
      </c>
      <c r="D42" s="13" t="s">
        <v>37</v>
      </c>
      <c r="E42" s="66" t="s">
        <v>45</v>
      </c>
      <c r="F42" s="14" t="s">
        <v>46</v>
      </c>
      <c r="G42" s="16" t="s">
        <v>47</v>
      </c>
    </row>
    <row r="45" spans="1:13" x14ac:dyDescent="0.35">
      <c r="A45" s="6" t="s">
        <v>48</v>
      </c>
      <c r="B45" s="7"/>
      <c r="C45" s="8"/>
      <c r="D45" s="9"/>
      <c r="E45" s="8"/>
      <c r="F45" s="7"/>
      <c r="G45" s="8"/>
    </row>
    <row r="46" spans="1:13" x14ac:dyDescent="0.35">
      <c r="A46" s="13" t="s">
        <v>35</v>
      </c>
      <c r="B46" s="16" t="s">
        <v>49</v>
      </c>
      <c r="C46" s="16" t="s">
        <v>50</v>
      </c>
      <c r="D46" s="68" t="s">
        <v>51</v>
      </c>
      <c r="E46" s="16" t="s">
        <v>52</v>
      </c>
      <c r="F46" s="14" t="s">
        <v>37</v>
      </c>
      <c r="G46" s="14" t="s">
        <v>46</v>
      </c>
      <c r="H46" s="16" t="s">
        <v>53</v>
      </c>
    </row>
    <row r="47" spans="1:13" s="74" customFormat="1" x14ac:dyDescent="0.35">
      <c r="A47" s="42" t="s">
        <v>90</v>
      </c>
      <c r="B47" s="69" t="s">
        <v>197</v>
      </c>
      <c r="C47" s="70">
        <v>2569647.85</v>
      </c>
      <c r="D47" s="42" t="s">
        <v>114</v>
      </c>
      <c r="E47" s="71" t="s">
        <v>115</v>
      </c>
      <c r="F47" s="72" t="s">
        <v>116</v>
      </c>
      <c r="G47" s="73">
        <v>7.51E-2</v>
      </c>
      <c r="H47" s="71" t="s">
        <v>117</v>
      </c>
      <c r="M47" s="75"/>
    </row>
    <row r="48" spans="1:13" s="74" customFormat="1" x14ac:dyDescent="0.35">
      <c r="A48" s="42" t="s">
        <v>90</v>
      </c>
      <c r="B48" s="69" t="s">
        <v>118</v>
      </c>
      <c r="C48" s="70">
        <v>5815546.0588783557</v>
      </c>
      <c r="D48" s="42" t="s">
        <v>119</v>
      </c>
      <c r="E48" s="71" t="s">
        <v>120</v>
      </c>
      <c r="F48" s="72" t="s">
        <v>121</v>
      </c>
      <c r="G48" s="73">
        <v>7.4999999999999997E-2</v>
      </c>
      <c r="H48" s="71" t="s">
        <v>117</v>
      </c>
      <c r="M48" s="75"/>
    </row>
    <row r="49" spans="1:13" s="74" customFormat="1" x14ac:dyDescent="0.35">
      <c r="A49" s="42" t="s">
        <v>90</v>
      </c>
      <c r="B49" s="69" t="s">
        <v>118</v>
      </c>
      <c r="C49" s="70">
        <v>331129.45384057408</v>
      </c>
      <c r="D49" s="42" t="s">
        <v>122</v>
      </c>
      <c r="E49" s="71" t="s">
        <v>123</v>
      </c>
      <c r="F49" s="72" t="s">
        <v>121</v>
      </c>
      <c r="G49" s="73">
        <v>7.4999999999999997E-2</v>
      </c>
      <c r="H49" s="71" t="s">
        <v>117</v>
      </c>
      <c r="M49" s="75"/>
    </row>
    <row r="50" spans="1:13" s="74" customFormat="1" x14ac:dyDescent="0.35">
      <c r="A50" s="42" t="s">
        <v>90</v>
      </c>
      <c r="B50" s="69" t="s">
        <v>118</v>
      </c>
      <c r="C50" s="70">
        <v>330659.33024711435</v>
      </c>
      <c r="D50" s="42" t="s">
        <v>124</v>
      </c>
      <c r="E50" s="71" t="s">
        <v>125</v>
      </c>
      <c r="F50" s="72" t="s">
        <v>121</v>
      </c>
      <c r="G50" s="73">
        <v>7.0000000000000007E-2</v>
      </c>
      <c r="H50" s="71" t="s">
        <v>117</v>
      </c>
      <c r="M50" s="75"/>
    </row>
    <row r="51" spans="1:13" s="74" customFormat="1" x14ac:dyDescent="0.35">
      <c r="A51" s="42" t="s">
        <v>90</v>
      </c>
      <c r="B51" s="69" t="s">
        <v>118</v>
      </c>
      <c r="C51" s="70">
        <v>675096.13562792982</v>
      </c>
      <c r="D51" s="42" t="s">
        <v>126</v>
      </c>
      <c r="E51" s="71" t="s">
        <v>127</v>
      </c>
      <c r="F51" s="72" t="s">
        <v>121</v>
      </c>
      <c r="G51" s="73">
        <v>7.4999999999999997E-2</v>
      </c>
      <c r="H51" s="71" t="s">
        <v>117</v>
      </c>
      <c r="M51" s="75"/>
    </row>
    <row r="52" spans="1:13" s="74" customFormat="1" x14ac:dyDescent="0.35">
      <c r="A52" s="42" t="s">
        <v>90</v>
      </c>
      <c r="B52" s="69" t="s">
        <v>128</v>
      </c>
      <c r="C52" s="70">
        <v>932324.62</v>
      </c>
      <c r="D52" s="42" t="s">
        <v>129</v>
      </c>
      <c r="E52" s="71" t="s">
        <v>130</v>
      </c>
      <c r="F52" s="72" t="s">
        <v>116</v>
      </c>
      <c r="G52" s="76">
        <v>0.06</v>
      </c>
      <c r="H52" s="71" t="s">
        <v>117</v>
      </c>
      <c r="M52" s="75"/>
    </row>
    <row r="53" spans="1:13" s="74" customFormat="1" x14ac:dyDescent="0.35">
      <c r="A53" s="42" t="s">
        <v>90</v>
      </c>
      <c r="B53" s="69" t="s">
        <v>131</v>
      </c>
      <c r="C53" s="70">
        <v>120889501.17</v>
      </c>
      <c r="D53" s="42" t="s">
        <v>132</v>
      </c>
      <c r="E53" s="77" t="s">
        <v>133</v>
      </c>
      <c r="F53" s="72" t="s">
        <v>134</v>
      </c>
      <c r="G53" s="73">
        <v>5.2499999999999998E-2</v>
      </c>
      <c r="H53" s="71" t="s">
        <v>117</v>
      </c>
      <c r="M53" s="75"/>
    </row>
    <row r="54" spans="1:13" s="74" customFormat="1" ht="15" thickBot="1" x14ac:dyDescent="0.4">
      <c r="C54" s="78">
        <f>SUM(C47:C53)</f>
        <v>131543904.61859398</v>
      </c>
      <c r="M54" s="75"/>
    </row>
    <row r="55" spans="1:13" ht="15" thickTop="1" x14ac:dyDescent="0.35"/>
    <row r="56" spans="1:13" x14ac:dyDescent="0.35">
      <c r="A56" s="74" t="s">
        <v>135</v>
      </c>
    </row>
    <row r="58" spans="1:13" x14ac:dyDescent="0.35">
      <c r="A58" t="s">
        <v>136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09DB3-7FA6-41CE-B6DA-4C7C18C0C1F4}">
  <dimension ref="A1:K19"/>
  <sheetViews>
    <sheetView topLeftCell="A5" workbookViewId="0">
      <selection activeCell="B18" sqref="B18:B19"/>
    </sheetView>
  </sheetViews>
  <sheetFormatPr defaultRowHeight="14.5" x14ac:dyDescent="0.35"/>
  <cols>
    <col min="1" max="1" width="17.08984375" customWidth="1"/>
    <col min="2" max="2" width="12.54296875" bestFit="1" customWidth="1"/>
    <col min="3" max="3" width="10.36328125" customWidth="1"/>
    <col min="4" max="4" width="21.08984375" bestFit="1" customWidth="1"/>
    <col min="5" max="5" width="10.90625" customWidth="1"/>
    <col min="6" max="6" width="23" style="79" customWidth="1"/>
    <col min="7" max="9" width="19.36328125" style="79" bestFit="1" customWidth="1"/>
    <col min="10" max="10" width="15.1796875" style="79" customWidth="1"/>
    <col min="11" max="11" width="17.54296875" style="79" bestFit="1" customWidth="1"/>
  </cols>
  <sheetData>
    <row r="1" spans="1:11" ht="21" x14ac:dyDescent="0.35">
      <c r="A1" s="4" t="s">
        <v>0</v>
      </c>
    </row>
    <row r="2" spans="1:11" ht="16" x14ac:dyDescent="0.35">
      <c r="A2" s="1" t="s">
        <v>1</v>
      </c>
    </row>
    <row r="3" spans="1:11" ht="16" x14ac:dyDescent="0.35">
      <c r="A3" s="1"/>
    </row>
    <row r="4" spans="1:11" ht="32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80" t="s">
        <v>137</v>
      </c>
      <c r="G4" s="80" t="s">
        <v>7</v>
      </c>
      <c r="H4" s="80" t="s">
        <v>8</v>
      </c>
      <c r="I4" s="80" t="s">
        <v>9</v>
      </c>
      <c r="J4" s="80" t="s">
        <v>10</v>
      </c>
      <c r="K4" s="80" t="s">
        <v>138</v>
      </c>
    </row>
    <row r="5" spans="1:11" ht="16" x14ac:dyDescent="0.35">
      <c r="A5" s="3" t="s">
        <v>139</v>
      </c>
      <c r="B5" s="3" t="s">
        <v>98</v>
      </c>
      <c r="C5" s="3" t="s">
        <v>92</v>
      </c>
      <c r="D5" s="81" t="s">
        <v>140</v>
      </c>
      <c r="E5" s="3" t="s">
        <v>93</v>
      </c>
      <c r="F5" s="79">
        <v>-116856681.51000001</v>
      </c>
      <c r="G5" s="79">
        <v>40928826.409999996</v>
      </c>
      <c r="H5" s="79">
        <v>46451945.659999996</v>
      </c>
      <c r="I5" s="82">
        <f t="shared" ref="I5:I19" si="0">F5+G5-H5</f>
        <v>-122379800.76000001</v>
      </c>
      <c r="J5" s="83">
        <v>0</v>
      </c>
      <c r="K5" s="79">
        <f>I5-J5</f>
        <v>-122379800.76000001</v>
      </c>
    </row>
    <row r="6" spans="1:11" ht="16" x14ac:dyDescent="0.35">
      <c r="A6" s="3"/>
      <c r="B6" s="3" t="s">
        <v>98</v>
      </c>
      <c r="C6" s="3" t="s">
        <v>96</v>
      </c>
      <c r="D6" s="81" t="s">
        <v>141</v>
      </c>
      <c r="E6" s="3" t="s">
        <v>99</v>
      </c>
      <c r="F6" s="79">
        <v>44607218.51000002</v>
      </c>
      <c r="G6" s="82">
        <v>0</v>
      </c>
      <c r="H6" s="82">
        <v>0</v>
      </c>
      <c r="I6" s="82">
        <f t="shared" si="0"/>
        <v>44607218.51000002</v>
      </c>
      <c r="J6" s="83">
        <v>0</v>
      </c>
      <c r="K6" s="79">
        <f t="shared" ref="K6:K19" si="1">I6-J6</f>
        <v>44607218.51000002</v>
      </c>
    </row>
    <row r="7" spans="1:11" ht="16" x14ac:dyDescent="0.35">
      <c r="A7" s="3"/>
      <c r="B7" s="3" t="s">
        <v>177</v>
      </c>
      <c r="C7" s="3" t="s">
        <v>92</v>
      </c>
      <c r="D7" s="81" t="s">
        <v>142</v>
      </c>
      <c r="E7" s="3" t="s">
        <v>99</v>
      </c>
      <c r="F7" s="82">
        <v>-26328.680000001565</v>
      </c>
      <c r="G7" s="82">
        <v>0</v>
      </c>
      <c r="H7" s="82">
        <v>0</v>
      </c>
      <c r="I7" s="82">
        <f t="shared" si="0"/>
        <v>-26328.680000001565</v>
      </c>
      <c r="J7" s="83">
        <v>0</v>
      </c>
      <c r="K7" s="79">
        <f t="shared" si="1"/>
        <v>-26328.680000001565</v>
      </c>
    </row>
    <row r="8" spans="1:11" ht="16" x14ac:dyDescent="0.35">
      <c r="A8" s="3"/>
      <c r="B8" s="3" t="s">
        <v>177</v>
      </c>
      <c r="C8" s="3" t="s">
        <v>92</v>
      </c>
      <c r="D8" s="81" t="s">
        <v>143</v>
      </c>
      <c r="E8" s="3" t="s">
        <v>93</v>
      </c>
      <c r="F8" s="82">
        <v>6837856.3900000006</v>
      </c>
      <c r="G8" s="82">
        <v>288780875.02999997</v>
      </c>
      <c r="H8" s="82">
        <v>3091310.15</v>
      </c>
      <c r="I8" s="82">
        <f t="shared" si="0"/>
        <v>292527421.26999998</v>
      </c>
      <c r="J8" s="83">
        <v>0</v>
      </c>
      <c r="K8" s="79">
        <f t="shared" si="1"/>
        <v>292527421.26999998</v>
      </c>
    </row>
    <row r="9" spans="1:11" ht="16" x14ac:dyDescent="0.35">
      <c r="A9" s="3"/>
      <c r="B9" s="3" t="s">
        <v>103</v>
      </c>
      <c r="C9" s="3" t="s">
        <v>92</v>
      </c>
      <c r="D9" s="81" t="s">
        <v>144</v>
      </c>
      <c r="E9" s="3" t="s">
        <v>93</v>
      </c>
      <c r="F9" s="82">
        <v>1313300.46</v>
      </c>
      <c r="G9" s="82">
        <v>277307.09999999998</v>
      </c>
      <c r="H9" s="82">
        <v>12000</v>
      </c>
      <c r="I9" s="82">
        <f t="shared" si="0"/>
        <v>1578607.56</v>
      </c>
      <c r="J9" s="83">
        <v>0</v>
      </c>
      <c r="K9" s="79">
        <f t="shared" si="1"/>
        <v>1578607.56</v>
      </c>
    </row>
    <row r="10" spans="1:11" ht="16" x14ac:dyDescent="0.35">
      <c r="A10" s="3"/>
      <c r="B10" s="3" t="s">
        <v>103</v>
      </c>
      <c r="C10" s="3" t="s">
        <v>92</v>
      </c>
      <c r="D10" s="81" t="s">
        <v>145</v>
      </c>
      <c r="E10" s="3" t="s">
        <v>93</v>
      </c>
      <c r="F10" s="82">
        <v>-87440627.219999999</v>
      </c>
      <c r="G10" s="82">
        <v>0</v>
      </c>
      <c r="H10" s="82">
        <v>0</v>
      </c>
      <c r="I10" s="82">
        <f t="shared" si="0"/>
        <v>-87440627.219999999</v>
      </c>
      <c r="J10" s="83">
        <v>0</v>
      </c>
      <c r="K10" s="79">
        <f t="shared" si="1"/>
        <v>-87440627.219999999</v>
      </c>
    </row>
    <row r="11" spans="1:11" ht="16" x14ac:dyDescent="0.35">
      <c r="A11" s="3"/>
      <c r="B11" s="3" t="s">
        <v>58</v>
      </c>
      <c r="C11" s="3" t="s">
        <v>92</v>
      </c>
      <c r="D11" s="81" t="s">
        <v>146</v>
      </c>
      <c r="E11" s="3" t="s">
        <v>93</v>
      </c>
      <c r="F11" s="82">
        <v>2346372.5100000002</v>
      </c>
      <c r="G11" s="82">
        <v>434605</v>
      </c>
      <c r="H11" s="82">
        <v>20248000</v>
      </c>
      <c r="I11" s="82">
        <f t="shared" si="0"/>
        <v>-17467022.489999998</v>
      </c>
      <c r="J11" s="83">
        <v>0</v>
      </c>
      <c r="K11" s="79">
        <f t="shared" si="1"/>
        <v>-17467022.489999998</v>
      </c>
    </row>
    <row r="12" spans="1:11" ht="16" x14ac:dyDescent="0.35">
      <c r="A12" s="3"/>
      <c r="B12" s="3" t="s">
        <v>58</v>
      </c>
      <c r="C12" s="3" t="s">
        <v>92</v>
      </c>
      <c r="D12" s="81" t="s">
        <v>147</v>
      </c>
      <c r="E12" s="3" t="s">
        <v>93</v>
      </c>
      <c r="F12" s="82">
        <v>8538813.6000000015</v>
      </c>
      <c r="G12" s="82">
        <v>70504091</v>
      </c>
      <c r="H12" s="82">
        <v>0</v>
      </c>
      <c r="I12" s="82">
        <f t="shared" si="0"/>
        <v>79042904.599999994</v>
      </c>
      <c r="J12" s="83">
        <v>0</v>
      </c>
      <c r="K12" s="79">
        <f t="shared" si="1"/>
        <v>79042904.599999994</v>
      </c>
    </row>
    <row r="13" spans="1:11" ht="16" x14ac:dyDescent="0.35">
      <c r="A13" s="3"/>
      <c r="B13" s="3" t="s">
        <v>58</v>
      </c>
      <c r="C13" s="3" t="s">
        <v>92</v>
      </c>
      <c r="D13" s="81" t="s">
        <v>148</v>
      </c>
      <c r="E13" s="3" t="s">
        <v>93</v>
      </c>
      <c r="F13" s="82">
        <v>-1036531.75</v>
      </c>
      <c r="G13" s="82">
        <v>434605</v>
      </c>
      <c r="H13" s="82">
        <v>20248000</v>
      </c>
      <c r="I13" s="82">
        <f t="shared" si="0"/>
        <v>-20849926.75</v>
      </c>
      <c r="J13" s="83"/>
      <c r="K13" s="79">
        <f t="shared" si="1"/>
        <v>-20849926.75</v>
      </c>
    </row>
    <row r="14" spans="1:11" ht="16" x14ac:dyDescent="0.35">
      <c r="A14" s="3"/>
      <c r="B14" s="3" t="s">
        <v>77</v>
      </c>
      <c r="C14" s="3" t="s">
        <v>92</v>
      </c>
      <c r="D14" s="81">
        <v>61010277822</v>
      </c>
      <c r="E14" s="3" t="s">
        <v>93</v>
      </c>
      <c r="F14" s="82">
        <v>2173016.0199999958</v>
      </c>
      <c r="G14" s="82">
        <v>4425475</v>
      </c>
      <c r="H14" s="82">
        <v>50000000</v>
      </c>
      <c r="I14" s="82">
        <f t="shared" si="0"/>
        <v>-43401508.980000004</v>
      </c>
      <c r="J14" s="83">
        <v>0</v>
      </c>
      <c r="K14" s="79">
        <f t="shared" si="1"/>
        <v>-43401508.980000004</v>
      </c>
    </row>
    <row r="15" spans="1:11" ht="16" x14ac:dyDescent="0.35">
      <c r="A15" s="3"/>
      <c r="B15" s="3" t="s">
        <v>77</v>
      </c>
      <c r="C15" s="3" t="s">
        <v>92</v>
      </c>
      <c r="D15" s="81" t="s">
        <v>149</v>
      </c>
      <c r="E15" s="3" t="s">
        <v>93</v>
      </c>
      <c r="F15" s="82">
        <v>2168806.16</v>
      </c>
      <c r="G15" s="82">
        <v>766287.82</v>
      </c>
      <c r="H15" s="82">
        <v>0</v>
      </c>
      <c r="I15" s="82">
        <f t="shared" si="0"/>
        <v>2935093.98</v>
      </c>
      <c r="J15" s="83">
        <v>0</v>
      </c>
      <c r="K15" s="79">
        <f t="shared" si="1"/>
        <v>2935093.98</v>
      </c>
    </row>
    <row r="16" spans="1:11" ht="16" x14ac:dyDescent="0.35">
      <c r="A16" s="3"/>
      <c r="B16" s="3" t="s">
        <v>209</v>
      </c>
      <c r="C16" s="3" t="s">
        <v>92</v>
      </c>
      <c r="D16" s="81" t="s">
        <v>150</v>
      </c>
      <c r="E16" s="3" t="s">
        <v>93</v>
      </c>
      <c r="F16" s="82">
        <v>2068821.3</v>
      </c>
      <c r="G16" s="82">
        <v>0</v>
      </c>
      <c r="H16" s="82">
        <v>0</v>
      </c>
      <c r="I16" s="82">
        <f t="shared" si="0"/>
        <v>2068821.3</v>
      </c>
      <c r="J16" s="84">
        <v>0</v>
      </c>
      <c r="K16" s="82">
        <f t="shared" si="1"/>
        <v>2068821.3</v>
      </c>
    </row>
    <row r="17" spans="2:11" ht="16" x14ac:dyDescent="0.35">
      <c r="B17" s="3" t="s">
        <v>100</v>
      </c>
      <c r="C17" s="3" t="s">
        <v>92</v>
      </c>
      <c r="D17" s="81">
        <v>70848912</v>
      </c>
      <c r="E17" s="3" t="s">
        <v>93</v>
      </c>
      <c r="F17" s="82">
        <v>308161005.63</v>
      </c>
      <c r="G17" s="82">
        <v>49794782.149999999</v>
      </c>
      <c r="H17" s="82">
        <v>60011925</v>
      </c>
      <c r="I17" s="82">
        <f t="shared" si="0"/>
        <v>297943862.77999997</v>
      </c>
      <c r="J17" s="84">
        <v>0</v>
      </c>
      <c r="K17" s="82">
        <f t="shared" si="1"/>
        <v>297943862.77999997</v>
      </c>
    </row>
    <row r="18" spans="2:11" ht="16" x14ac:dyDescent="0.35">
      <c r="B18" s="3" t="s">
        <v>363</v>
      </c>
      <c r="C18" s="3" t="s">
        <v>92</v>
      </c>
      <c r="D18" s="81">
        <v>2020045110</v>
      </c>
      <c r="E18" s="3" t="s">
        <v>93</v>
      </c>
      <c r="F18" s="82">
        <v>25000</v>
      </c>
      <c r="G18" s="82">
        <v>0</v>
      </c>
      <c r="H18" s="82">
        <v>0</v>
      </c>
      <c r="I18" s="82">
        <f t="shared" si="0"/>
        <v>25000</v>
      </c>
      <c r="J18" s="84">
        <v>0</v>
      </c>
      <c r="K18" s="82">
        <f t="shared" si="1"/>
        <v>25000</v>
      </c>
    </row>
    <row r="19" spans="2:11" ht="16" x14ac:dyDescent="0.35">
      <c r="B19" s="3" t="s">
        <v>363</v>
      </c>
      <c r="C19" s="3" t="s">
        <v>151</v>
      </c>
      <c r="D19" s="81">
        <v>1020012905</v>
      </c>
      <c r="E19" s="3" t="s">
        <v>93</v>
      </c>
      <c r="F19" s="82">
        <v>25115779.5</v>
      </c>
      <c r="G19" s="82">
        <v>0</v>
      </c>
      <c r="H19" s="82">
        <v>0</v>
      </c>
      <c r="I19" s="82">
        <f t="shared" si="0"/>
        <v>25115779.5</v>
      </c>
      <c r="J19" s="84">
        <v>0</v>
      </c>
      <c r="K19" s="82">
        <f t="shared" si="1"/>
        <v>25115779.5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23E3-CF68-48D4-980B-B724FDEC311E}">
  <dimension ref="A1:K33"/>
  <sheetViews>
    <sheetView showGridLines="0" topLeftCell="A15" workbookViewId="0">
      <selection activeCell="G25" sqref="A25:G31"/>
    </sheetView>
  </sheetViews>
  <sheetFormatPr defaultColWidth="8.81640625" defaultRowHeight="14.5" x14ac:dyDescent="0.35"/>
  <cols>
    <col min="1" max="1" width="26.6328125" customWidth="1"/>
    <col min="2" max="2" width="13.81640625" style="5" customWidth="1"/>
    <col min="3" max="3" width="18.453125" customWidth="1"/>
    <col min="4" max="4" width="33.453125" style="38" bestFit="1" customWidth="1"/>
    <col min="5" max="5" width="20.1796875" customWidth="1"/>
    <col min="6" max="6" width="20.6328125" customWidth="1"/>
    <col min="7" max="7" width="20.453125" customWidth="1"/>
    <col min="8" max="8" width="15.81640625" customWidth="1"/>
    <col min="9" max="9" width="19.90625" style="86" customWidth="1"/>
    <col min="10" max="10" width="15.453125" style="79" hidden="1" customWidth="1"/>
    <col min="11" max="11" width="13.90625" bestFit="1" customWidth="1"/>
  </cols>
  <sheetData>
    <row r="1" spans="1:11" x14ac:dyDescent="0.35">
      <c r="A1" s="85" t="s">
        <v>152</v>
      </c>
    </row>
    <row r="3" spans="1:11" x14ac:dyDescent="0.35">
      <c r="E3" s="5"/>
      <c r="F3" s="5"/>
    </row>
    <row r="4" spans="1:11" x14ac:dyDescent="0.35">
      <c r="A4" s="85" t="s">
        <v>153</v>
      </c>
      <c r="E4" s="5"/>
      <c r="F4" s="5"/>
      <c r="H4" s="87"/>
    </row>
    <row r="5" spans="1:11" ht="29" x14ac:dyDescent="0.35">
      <c r="A5" s="88" t="s">
        <v>35</v>
      </c>
      <c r="B5" s="88" t="s">
        <v>3</v>
      </c>
      <c r="C5" s="88" t="s">
        <v>36</v>
      </c>
      <c r="D5" s="88" t="s">
        <v>37</v>
      </c>
      <c r="E5" s="88" t="s">
        <v>38</v>
      </c>
      <c r="F5" s="20" t="s">
        <v>39</v>
      </c>
      <c r="G5" s="20" t="s">
        <v>40</v>
      </c>
      <c r="H5" s="20" t="s">
        <v>154</v>
      </c>
      <c r="I5" s="89" t="s">
        <v>155</v>
      </c>
    </row>
    <row r="6" spans="1:11" x14ac:dyDescent="0.35">
      <c r="A6" s="23" t="s">
        <v>139</v>
      </c>
      <c r="B6" s="23" t="s">
        <v>100</v>
      </c>
      <c r="C6" s="23" t="s">
        <v>156</v>
      </c>
      <c r="D6" s="23" t="s">
        <v>157</v>
      </c>
      <c r="E6" s="30">
        <v>125000000</v>
      </c>
      <c r="F6" s="90">
        <v>45444</v>
      </c>
      <c r="G6" s="91">
        <v>9.9400000000000002E-2</v>
      </c>
      <c r="H6" s="20">
        <v>25</v>
      </c>
      <c r="I6" s="30">
        <v>67800000</v>
      </c>
      <c r="K6" s="79"/>
    </row>
    <row r="7" spans="1:11" x14ac:dyDescent="0.35">
      <c r="A7" s="23" t="s">
        <v>139</v>
      </c>
      <c r="B7" s="23" t="s">
        <v>103</v>
      </c>
      <c r="C7" s="23" t="s">
        <v>158</v>
      </c>
      <c r="D7" s="23" t="s">
        <v>159</v>
      </c>
      <c r="E7" s="30">
        <v>90000000</v>
      </c>
      <c r="F7" s="90">
        <v>45627</v>
      </c>
      <c r="G7" s="92">
        <v>0.1</v>
      </c>
      <c r="H7" s="20">
        <f t="shared" ref="H7:H8" si="0">ROUND(I7/J7,0)</f>
        <v>19</v>
      </c>
      <c r="I7" s="30">
        <v>47500000</v>
      </c>
      <c r="J7" s="79">
        <v>2500000</v>
      </c>
    </row>
    <row r="8" spans="1:11" x14ac:dyDescent="0.35">
      <c r="A8" s="23" t="s">
        <v>139</v>
      </c>
      <c r="B8" s="23" t="s">
        <v>103</v>
      </c>
      <c r="C8" s="23" t="s">
        <v>156</v>
      </c>
      <c r="D8" s="23" t="s">
        <v>160</v>
      </c>
      <c r="E8" s="30">
        <v>200000000</v>
      </c>
      <c r="F8" s="37">
        <v>45281</v>
      </c>
      <c r="G8" s="92">
        <v>0.1</v>
      </c>
      <c r="H8" s="20">
        <f t="shared" si="0"/>
        <v>56</v>
      </c>
      <c r="I8" s="30">
        <v>143570000</v>
      </c>
      <c r="J8" s="79">
        <v>2565000</v>
      </c>
    </row>
    <row r="9" spans="1:11" x14ac:dyDescent="0.35">
      <c r="A9" s="23" t="s">
        <v>139</v>
      </c>
      <c r="B9" s="23" t="s">
        <v>103</v>
      </c>
      <c r="C9" s="23" t="s">
        <v>156</v>
      </c>
      <c r="D9" s="23" t="s">
        <v>161</v>
      </c>
      <c r="E9" s="30">
        <v>400000000</v>
      </c>
      <c r="F9" s="37">
        <v>45391</v>
      </c>
      <c r="G9" s="92">
        <v>0.1</v>
      </c>
      <c r="H9" s="20">
        <f>ROUND(I9/J9,0)</f>
        <v>60</v>
      </c>
      <c r="I9" s="30">
        <v>305380000</v>
      </c>
      <c r="J9" s="93">
        <v>5090000</v>
      </c>
    </row>
    <row r="10" spans="1:11" x14ac:dyDescent="0.35">
      <c r="A10" s="94"/>
      <c r="B10" s="94"/>
      <c r="C10" s="94"/>
      <c r="D10" s="94"/>
      <c r="E10" s="94"/>
      <c r="F10" s="95"/>
      <c r="G10" s="95"/>
      <c r="H10" s="95"/>
    </row>
    <row r="11" spans="1:11" x14ac:dyDescent="0.35">
      <c r="E11" s="5"/>
      <c r="F11" s="5"/>
    </row>
    <row r="12" spans="1:11" ht="15" customHeight="1" x14ac:dyDescent="0.35">
      <c r="A12" s="85" t="s">
        <v>162</v>
      </c>
      <c r="E12" s="5"/>
      <c r="F12" s="5"/>
    </row>
    <row r="13" spans="1:11" ht="57.5" customHeight="1" x14ac:dyDescent="0.35">
      <c r="A13" s="88" t="s">
        <v>35</v>
      </c>
      <c r="B13" s="88" t="s">
        <v>3</v>
      </c>
      <c r="C13" s="88" t="s">
        <v>44</v>
      </c>
      <c r="D13" s="88" t="s">
        <v>37</v>
      </c>
      <c r="E13" s="20" t="s">
        <v>45</v>
      </c>
      <c r="F13" s="88" t="s">
        <v>46</v>
      </c>
      <c r="G13" s="20" t="s">
        <v>163</v>
      </c>
    </row>
    <row r="14" spans="1:11" x14ac:dyDescent="0.35">
      <c r="A14" s="88" t="s">
        <v>139</v>
      </c>
      <c r="B14" s="88" t="s">
        <v>77</v>
      </c>
      <c r="C14" s="88" t="s">
        <v>164</v>
      </c>
      <c r="D14" s="88" t="s">
        <v>165</v>
      </c>
      <c r="E14" s="96">
        <v>120000000</v>
      </c>
      <c r="F14" s="97">
        <v>9.8000000000000004E-2</v>
      </c>
      <c r="G14" s="98">
        <f>E14</f>
        <v>120000000</v>
      </c>
    </row>
    <row r="15" spans="1:11" x14ac:dyDescent="0.35">
      <c r="A15" s="88" t="s">
        <v>139</v>
      </c>
      <c r="B15" s="88" t="s">
        <v>77</v>
      </c>
      <c r="C15" s="88" t="s">
        <v>164</v>
      </c>
      <c r="D15" s="88" t="s">
        <v>165</v>
      </c>
      <c r="E15" s="96">
        <v>130000000</v>
      </c>
      <c r="F15" s="97">
        <v>9.8000000000000004E-2</v>
      </c>
      <c r="G15" s="98">
        <f>E15</f>
        <v>130000000</v>
      </c>
      <c r="H15" s="99"/>
    </row>
    <row r="16" spans="1:11" x14ac:dyDescent="0.35">
      <c r="A16" s="94"/>
      <c r="B16" s="94"/>
      <c r="C16" s="94"/>
      <c r="D16" s="94"/>
      <c r="E16" s="93"/>
      <c r="F16" s="100"/>
      <c r="G16" s="101"/>
      <c r="H16" s="99"/>
    </row>
    <row r="18" spans="1:7" x14ac:dyDescent="0.35">
      <c r="A18" s="102" t="s">
        <v>166</v>
      </c>
    </row>
    <row r="19" spans="1:7" ht="32.5" customHeight="1" x14ac:dyDescent="0.35">
      <c r="A19" s="88" t="s">
        <v>35</v>
      </c>
      <c r="B19" s="88" t="s">
        <v>49</v>
      </c>
      <c r="C19" s="88" t="s">
        <v>50</v>
      </c>
      <c r="D19" s="88" t="s">
        <v>52</v>
      </c>
      <c r="E19" s="88" t="s">
        <v>37</v>
      </c>
      <c r="F19" s="88" t="s">
        <v>46</v>
      </c>
      <c r="G19" s="88" t="s">
        <v>53</v>
      </c>
    </row>
    <row r="20" spans="1:7" x14ac:dyDescent="0.35">
      <c r="A20" s="88" t="s">
        <v>139</v>
      </c>
      <c r="B20" s="103" t="s">
        <v>98</v>
      </c>
      <c r="C20" s="104" t="s">
        <v>167</v>
      </c>
      <c r="D20" s="103" t="s">
        <v>168</v>
      </c>
      <c r="E20" s="23" t="s">
        <v>169</v>
      </c>
      <c r="F20" s="105">
        <v>0.09</v>
      </c>
      <c r="G20" s="104"/>
    </row>
    <row r="21" spans="1:7" x14ac:dyDescent="0.35">
      <c r="A21" s="88" t="s">
        <v>139</v>
      </c>
      <c r="B21" s="103" t="s">
        <v>98</v>
      </c>
      <c r="C21" s="104" t="s">
        <v>170</v>
      </c>
      <c r="D21" s="103" t="s">
        <v>171</v>
      </c>
      <c r="E21" s="23" t="s">
        <v>172</v>
      </c>
      <c r="F21" s="105">
        <v>8.3500000000000005E-2</v>
      </c>
      <c r="G21" s="104"/>
    </row>
    <row r="22" spans="1:7" x14ac:dyDescent="0.35">
      <c r="A22" s="88" t="s">
        <v>139</v>
      </c>
      <c r="B22" s="103" t="s">
        <v>98</v>
      </c>
      <c r="C22" s="104" t="s">
        <v>173</v>
      </c>
      <c r="D22" s="103" t="s">
        <v>174</v>
      </c>
      <c r="E22" s="23" t="s">
        <v>172</v>
      </c>
      <c r="F22" s="105">
        <v>7.4999999999999997E-2</v>
      </c>
      <c r="G22" s="104"/>
    </row>
    <row r="23" spans="1:7" x14ac:dyDescent="0.35">
      <c r="A23" s="88" t="s">
        <v>139</v>
      </c>
      <c r="B23" s="103" t="s">
        <v>98</v>
      </c>
      <c r="C23" s="104" t="s">
        <v>175</v>
      </c>
      <c r="D23" s="103" t="s">
        <v>176</v>
      </c>
      <c r="E23" s="23" t="s">
        <v>172</v>
      </c>
      <c r="F23" s="105">
        <v>8.3500000000000005E-2</v>
      </c>
      <c r="G23" s="104"/>
    </row>
    <row r="24" spans="1:7" x14ac:dyDescent="0.35">
      <c r="A24" s="88" t="s">
        <v>139</v>
      </c>
      <c r="B24" s="103" t="s">
        <v>177</v>
      </c>
      <c r="C24" s="104" t="s">
        <v>178</v>
      </c>
      <c r="D24" s="103" t="s">
        <v>179</v>
      </c>
      <c r="E24" s="23" t="s">
        <v>169</v>
      </c>
      <c r="F24" s="105">
        <v>8.2500000000000004E-2</v>
      </c>
      <c r="G24" s="104"/>
    </row>
    <row r="25" spans="1:7" x14ac:dyDescent="0.35">
      <c r="A25" s="88" t="s">
        <v>139</v>
      </c>
      <c r="B25" s="103" t="s">
        <v>177</v>
      </c>
      <c r="C25" s="104" t="s">
        <v>180</v>
      </c>
      <c r="D25" s="103" t="s">
        <v>181</v>
      </c>
      <c r="E25" s="23" t="s">
        <v>169</v>
      </c>
      <c r="F25" s="105">
        <v>7.0000000000000007E-2</v>
      </c>
      <c r="G25" s="104" t="s">
        <v>182</v>
      </c>
    </row>
    <row r="26" spans="1:7" x14ac:dyDescent="0.35">
      <c r="A26" s="88" t="s">
        <v>139</v>
      </c>
      <c r="B26" s="103" t="s">
        <v>177</v>
      </c>
      <c r="C26" s="104" t="s">
        <v>183</v>
      </c>
      <c r="D26" s="103" t="s">
        <v>184</v>
      </c>
      <c r="E26" s="23" t="s">
        <v>172</v>
      </c>
      <c r="F26" s="105">
        <v>8.2500000000000004E-2</v>
      </c>
      <c r="G26" s="104" t="s">
        <v>182</v>
      </c>
    </row>
    <row r="27" spans="1:7" x14ac:dyDescent="0.35">
      <c r="A27" s="88" t="s">
        <v>139</v>
      </c>
      <c r="B27" s="103" t="s">
        <v>177</v>
      </c>
      <c r="C27" s="104" t="s">
        <v>185</v>
      </c>
      <c r="D27" s="103" t="s">
        <v>186</v>
      </c>
      <c r="E27" s="23" t="s">
        <v>172</v>
      </c>
      <c r="F27" s="105">
        <v>9.0999999999999998E-2</v>
      </c>
      <c r="G27" s="104" t="s">
        <v>182</v>
      </c>
    </row>
    <row r="28" spans="1:7" x14ac:dyDescent="0.35">
      <c r="A28" s="88" t="s">
        <v>139</v>
      </c>
      <c r="B28" s="103" t="s">
        <v>77</v>
      </c>
      <c r="C28" s="106" t="s">
        <v>187</v>
      </c>
      <c r="D28" s="103" t="s">
        <v>188</v>
      </c>
      <c r="E28" s="23" t="s">
        <v>172</v>
      </c>
      <c r="F28" s="105">
        <v>8.5000000000000006E-2</v>
      </c>
      <c r="G28" s="104" t="s">
        <v>182</v>
      </c>
    </row>
    <row r="29" spans="1:7" x14ac:dyDescent="0.35">
      <c r="A29" s="88" t="s">
        <v>139</v>
      </c>
      <c r="B29" s="103" t="s">
        <v>77</v>
      </c>
      <c r="C29" s="104" t="s">
        <v>189</v>
      </c>
      <c r="D29" s="103" t="s">
        <v>190</v>
      </c>
      <c r="E29" s="23" t="s">
        <v>172</v>
      </c>
      <c r="F29" s="105">
        <v>8.5000000000000006E-2</v>
      </c>
      <c r="G29" s="104" t="s">
        <v>182</v>
      </c>
    </row>
    <row r="30" spans="1:7" x14ac:dyDescent="0.35">
      <c r="A30" s="88" t="s">
        <v>139</v>
      </c>
      <c r="B30" s="103" t="s">
        <v>77</v>
      </c>
      <c r="C30" s="104" t="s">
        <v>191</v>
      </c>
      <c r="D30" s="103" t="s">
        <v>192</v>
      </c>
      <c r="E30" s="23" t="s">
        <v>172</v>
      </c>
      <c r="F30" s="105">
        <v>8.5000000000000006E-2</v>
      </c>
      <c r="G30" s="104" t="s">
        <v>182</v>
      </c>
    </row>
    <row r="31" spans="1:7" x14ac:dyDescent="0.35">
      <c r="A31" s="88" t="s">
        <v>139</v>
      </c>
      <c r="B31" s="103" t="s">
        <v>77</v>
      </c>
      <c r="C31" s="104" t="s">
        <v>193</v>
      </c>
      <c r="D31" s="103" t="s">
        <v>194</v>
      </c>
      <c r="E31" s="23" t="s">
        <v>169</v>
      </c>
      <c r="F31" s="105">
        <v>8.5000000000000006E-2</v>
      </c>
      <c r="G31" s="104" t="s">
        <v>182</v>
      </c>
    </row>
    <row r="32" spans="1:7" x14ac:dyDescent="0.35">
      <c r="A32" s="88" t="s">
        <v>139</v>
      </c>
      <c r="B32" s="103" t="s">
        <v>100</v>
      </c>
      <c r="C32" s="104" t="s">
        <v>195</v>
      </c>
      <c r="D32" s="103" t="s">
        <v>196</v>
      </c>
      <c r="E32" s="23" t="s">
        <v>172</v>
      </c>
      <c r="F32" s="105">
        <v>6.25E-2</v>
      </c>
      <c r="G32" s="104"/>
    </row>
    <row r="33" spans="1:7" x14ac:dyDescent="0.35">
      <c r="A33" s="88" t="s">
        <v>139</v>
      </c>
      <c r="B33" s="103" t="s">
        <v>197</v>
      </c>
      <c r="C33" s="104" t="s">
        <v>198</v>
      </c>
      <c r="D33" s="103" t="s">
        <v>199</v>
      </c>
      <c r="E33" s="23" t="s">
        <v>200</v>
      </c>
      <c r="F33" s="103" t="s">
        <v>199</v>
      </c>
      <c r="G33" s="10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EC335-73C5-4BA2-93CF-9991281EB03B}">
  <dimension ref="A1:N109"/>
  <sheetViews>
    <sheetView topLeftCell="A92" workbookViewId="0">
      <selection activeCell="B67" sqref="B67:B69"/>
    </sheetView>
  </sheetViews>
  <sheetFormatPr defaultColWidth="9.08984375" defaultRowHeight="13" x14ac:dyDescent="0.3"/>
  <cols>
    <col min="1" max="1" width="9.08984375" style="108"/>
    <col min="2" max="2" width="11.36328125" style="108" customWidth="1"/>
    <col min="3" max="3" width="13.54296875" style="108" bestFit="1" customWidth="1"/>
    <col min="4" max="4" width="16.6328125" style="108" customWidth="1"/>
    <col min="5" max="5" width="16.08984375" style="109" customWidth="1"/>
    <col min="6" max="6" width="13.90625" style="110" customWidth="1"/>
    <col min="7" max="7" width="14.453125" style="109" customWidth="1"/>
    <col min="8" max="8" width="14" style="109" customWidth="1"/>
    <col min="9" max="9" width="16.54296875" style="109" customWidth="1"/>
    <col min="10" max="10" width="13.08984375" style="109" customWidth="1"/>
    <col min="11" max="12" width="15.36328125" style="109" customWidth="1"/>
    <col min="13" max="13" width="18" style="108" customWidth="1"/>
    <col min="14" max="14" width="11.453125" style="108" customWidth="1"/>
    <col min="15" max="15" width="9.453125" style="108" customWidth="1"/>
    <col min="16" max="16" width="12.453125" style="108" bestFit="1" customWidth="1"/>
    <col min="17" max="17" width="9.08984375" style="108"/>
    <col min="18" max="18" width="0" style="108" hidden="1" customWidth="1"/>
    <col min="19" max="16384" width="9.08984375" style="108"/>
  </cols>
  <sheetData>
    <row r="1" spans="1:9" x14ac:dyDescent="0.3">
      <c r="A1" s="107" t="s">
        <v>0</v>
      </c>
    </row>
    <row r="2" spans="1:9" x14ac:dyDescent="0.3">
      <c r="A2" s="111" t="s">
        <v>201</v>
      </c>
    </row>
    <row r="3" spans="1:9" x14ac:dyDescent="0.3">
      <c r="A3" s="111"/>
    </row>
    <row r="4" spans="1:9" s="112" customFormat="1" x14ac:dyDescent="0.3">
      <c r="A4" s="404" t="s">
        <v>2</v>
      </c>
      <c r="B4" s="404" t="s">
        <v>3</v>
      </c>
      <c r="C4" s="404" t="s">
        <v>4</v>
      </c>
      <c r="D4" s="404" t="s">
        <v>5</v>
      </c>
      <c r="E4" s="405" t="s">
        <v>6</v>
      </c>
      <c r="F4" s="399" t="s">
        <v>202</v>
      </c>
      <c r="G4" s="399" t="s">
        <v>203</v>
      </c>
    </row>
    <row r="5" spans="1:9" s="112" customFormat="1" x14ac:dyDescent="0.3">
      <c r="A5" s="404"/>
      <c r="B5" s="404"/>
      <c r="C5" s="404"/>
      <c r="D5" s="404"/>
      <c r="E5" s="405"/>
      <c r="F5" s="399"/>
      <c r="G5" s="399"/>
    </row>
    <row r="6" spans="1:9" s="112" customFormat="1" x14ac:dyDescent="0.3">
      <c r="A6" s="404"/>
      <c r="B6" s="404"/>
      <c r="C6" s="404"/>
      <c r="D6" s="404"/>
      <c r="E6" s="405"/>
      <c r="F6" s="399"/>
      <c r="G6" s="399"/>
    </row>
    <row r="7" spans="1:9" s="115" customFormat="1" x14ac:dyDescent="0.3">
      <c r="A7" s="400" t="s">
        <v>204</v>
      </c>
      <c r="B7" s="216" t="s">
        <v>100</v>
      </c>
      <c r="C7" s="216" t="s">
        <v>205</v>
      </c>
      <c r="D7" s="217">
        <v>7230989</v>
      </c>
      <c r="E7" s="216" t="s">
        <v>93</v>
      </c>
      <c r="F7" s="218">
        <v>9295103.1500000004</v>
      </c>
      <c r="G7" s="218">
        <v>10327677.33</v>
      </c>
      <c r="I7" s="116"/>
    </row>
    <row r="8" spans="1:9" s="115" customFormat="1" x14ac:dyDescent="0.3">
      <c r="A8" s="401"/>
      <c r="B8" s="216" t="s">
        <v>100</v>
      </c>
      <c r="C8" s="216" t="s">
        <v>206</v>
      </c>
      <c r="D8" s="217">
        <v>7231039</v>
      </c>
      <c r="E8" s="216" t="s">
        <v>99</v>
      </c>
      <c r="F8" s="218">
        <v>296800.45</v>
      </c>
      <c r="G8" s="218">
        <v>30987.7</v>
      </c>
      <c r="I8" s="116"/>
    </row>
    <row r="9" spans="1:9" s="115" customFormat="1" x14ac:dyDescent="0.3">
      <c r="A9" s="401"/>
      <c r="B9" s="216" t="s">
        <v>100</v>
      </c>
      <c r="C9" s="216" t="s">
        <v>207</v>
      </c>
      <c r="D9" s="217">
        <v>88359063</v>
      </c>
      <c r="E9" s="216" t="s">
        <v>99</v>
      </c>
      <c r="F9" s="218">
        <v>639.74</v>
      </c>
      <c r="G9" s="218">
        <v>639.74</v>
      </c>
      <c r="I9" s="116"/>
    </row>
    <row r="10" spans="1:9" s="115" customFormat="1" x14ac:dyDescent="0.3">
      <c r="A10" s="401"/>
      <c r="B10" s="216" t="s">
        <v>100</v>
      </c>
      <c r="C10" s="216" t="s">
        <v>206</v>
      </c>
      <c r="D10" s="217">
        <v>71799300</v>
      </c>
      <c r="E10" s="216" t="s">
        <v>208</v>
      </c>
      <c r="F10" s="218">
        <v>211.55</v>
      </c>
      <c r="G10" s="218">
        <v>9363.5854216872158</v>
      </c>
      <c r="I10" s="116"/>
    </row>
    <row r="11" spans="1:9" s="115" customFormat="1" x14ac:dyDescent="0.3">
      <c r="A11" s="401"/>
      <c r="B11" s="216" t="s">
        <v>209</v>
      </c>
      <c r="C11" s="216" t="s">
        <v>205</v>
      </c>
      <c r="D11" s="219">
        <v>148100130046167</v>
      </c>
      <c r="E11" s="216" t="s">
        <v>93</v>
      </c>
      <c r="F11" s="218">
        <v>99999950</v>
      </c>
      <c r="G11" s="218">
        <v>-1050</v>
      </c>
      <c r="I11" s="116"/>
    </row>
    <row r="12" spans="1:9" s="115" customFormat="1" x14ac:dyDescent="0.3">
      <c r="A12" s="401"/>
      <c r="B12" s="216" t="s">
        <v>209</v>
      </c>
      <c r="C12" s="216" t="s">
        <v>206</v>
      </c>
      <c r="D12" s="219">
        <v>148402130046167</v>
      </c>
      <c r="E12" s="216" t="s">
        <v>99</v>
      </c>
      <c r="F12" s="218">
        <v>962.95</v>
      </c>
      <c r="G12" s="218">
        <v>6992.16</v>
      </c>
      <c r="I12" s="116"/>
    </row>
    <row r="13" spans="1:9" s="115" customFormat="1" hidden="1" x14ac:dyDescent="0.3">
      <c r="A13" s="401"/>
      <c r="B13" s="113" t="s">
        <v>209</v>
      </c>
      <c r="C13" s="113" t="s">
        <v>207</v>
      </c>
      <c r="D13" s="117">
        <v>148402220046167</v>
      </c>
      <c r="E13" s="113" t="s">
        <v>99</v>
      </c>
      <c r="F13" s="114"/>
      <c r="G13" s="114"/>
      <c r="I13" s="116"/>
    </row>
    <row r="14" spans="1:9" s="115" customFormat="1" hidden="1" x14ac:dyDescent="0.3">
      <c r="A14" s="401"/>
      <c r="B14" s="113" t="s">
        <v>210</v>
      </c>
      <c r="C14" s="113"/>
      <c r="D14" s="117"/>
      <c r="E14" s="113"/>
      <c r="F14" s="114"/>
      <c r="G14" s="114"/>
      <c r="I14" s="116"/>
    </row>
    <row r="15" spans="1:9" s="115" customFormat="1" x14ac:dyDescent="0.3">
      <c r="A15" s="401"/>
      <c r="B15" s="216" t="s">
        <v>211</v>
      </c>
      <c r="C15" s="216" t="s">
        <v>205</v>
      </c>
      <c r="D15" s="219">
        <v>86013585844001</v>
      </c>
      <c r="E15" s="216" t="s">
        <v>93</v>
      </c>
      <c r="F15" s="218">
        <v>291661.12</v>
      </c>
      <c r="G15" s="218">
        <v>27531075.34</v>
      </c>
      <c r="I15" s="116"/>
    </row>
    <row r="16" spans="1:9" s="115" customFormat="1" x14ac:dyDescent="0.3">
      <c r="A16" s="401"/>
      <c r="B16" s="216" t="s">
        <v>211</v>
      </c>
      <c r="C16" s="216" t="s">
        <v>206</v>
      </c>
      <c r="D16" s="219">
        <v>86013585844050</v>
      </c>
      <c r="E16" s="216" t="s">
        <v>99</v>
      </c>
      <c r="F16" s="218">
        <v>17445.43</v>
      </c>
      <c r="G16" s="218">
        <v>681.8</v>
      </c>
      <c r="I16" s="116"/>
    </row>
    <row r="17" spans="1:14" s="115" customFormat="1" x14ac:dyDescent="0.3">
      <c r="A17" s="401"/>
      <c r="B17" s="216" t="s">
        <v>211</v>
      </c>
      <c r="C17" s="216" t="s">
        <v>207</v>
      </c>
      <c r="D17" s="219">
        <v>86013585844001</v>
      </c>
      <c r="E17" s="216" t="s">
        <v>99</v>
      </c>
      <c r="F17" s="218">
        <v>266.10000000000002</v>
      </c>
      <c r="G17" s="218">
        <v>811.1</v>
      </c>
      <c r="I17" s="116"/>
    </row>
    <row r="18" spans="1:14" s="115" customFormat="1" x14ac:dyDescent="0.3">
      <c r="A18" s="401"/>
      <c r="B18" s="216" t="s">
        <v>77</v>
      </c>
      <c r="C18" s="216" t="s">
        <v>205</v>
      </c>
      <c r="D18" s="217">
        <v>2010015083</v>
      </c>
      <c r="E18" s="216" t="s">
        <v>93</v>
      </c>
      <c r="F18" s="218">
        <v>-297154.88</v>
      </c>
      <c r="G18" s="218">
        <v>17421363</v>
      </c>
      <c r="I18" s="116"/>
    </row>
    <row r="19" spans="1:14" s="115" customFormat="1" x14ac:dyDescent="0.3">
      <c r="A19" s="401"/>
      <c r="B19" s="216" t="s">
        <v>77</v>
      </c>
      <c r="C19" s="216" t="s">
        <v>205</v>
      </c>
      <c r="D19" s="217">
        <v>2010016836</v>
      </c>
      <c r="E19" s="216" t="s">
        <v>93</v>
      </c>
      <c r="F19" s="218">
        <v>6181731.6600000001</v>
      </c>
      <c r="G19" s="218">
        <v>7312546.0599999996</v>
      </c>
      <c r="I19" s="116"/>
    </row>
    <row r="20" spans="1:14" s="115" customFormat="1" x14ac:dyDescent="0.3">
      <c r="A20" s="401"/>
      <c r="B20" s="216" t="s">
        <v>77</v>
      </c>
      <c r="C20" s="216" t="s">
        <v>206</v>
      </c>
      <c r="D20" s="217">
        <v>2910138541</v>
      </c>
      <c r="E20" s="216" t="s">
        <v>99</v>
      </c>
      <c r="F20" s="218">
        <v>90616.91</v>
      </c>
      <c r="G20" s="218">
        <v>129495.62</v>
      </c>
      <c r="I20" s="116"/>
    </row>
    <row r="21" spans="1:14" s="115" customFormat="1" x14ac:dyDescent="0.3">
      <c r="A21" s="401"/>
      <c r="B21" s="216" t="s">
        <v>77</v>
      </c>
      <c r="C21" s="216" t="s">
        <v>207</v>
      </c>
      <c r="D21" s="217">
        <v>2910469986</v>
      </c>
      <c r="E21" s="216" t="s">
        <v>99</v>
      </c>
      <c r="F21" s="218">
        <v>864.51</v>
      </c>
      <c r="G21" s="218">
        <v>864.51</v>
      </c>
      <c r="I21" s="116"/>
    </row>
    <row r="22" spans="1:14" s="115" customFormat="1" x14ac:dyDescent="0.3">
      <c r="A22" s="401"/>
      <c r="B22" s="216" t="s">
        <v>98</v>
      </c>
      <c r="C22" s="216" t="s">
        <v>205</v>
      </c>
      <c r="D22" s="219">
        <v>101000017672</v>
      </c>
      <c r="E22" s="216" t="s">
        <v>93</v>
      </c>
      <c r="F22" s="218">
        <v>35696464.969999999</v>
      </c>
      <c r="G22" s="218">
        <v>34624541.030000001</v>
      </c>
      <c r="I22" s="116"/>
    </row>
    <row r="23" spans="1:14" s="115" customFormat="1" x14ac:dyDescent="0.3">
      <c r="A23" s="401"/>
      <c r="B23" s="216" t="s">
        <v>98</v>
      </c>
      <c r="C23" s="216" t="s">
        <v>206</v>
      </c>
      <c r="D23" s="219">
        <v>101570000145</v>
      </c>
      <c r="E23" s="216" t="s">
        <v>99</v>
      </c>
      <c r="F23" s="218">
        <v>818.74</v>
      </c>
      <c r="G23" s="218">
        <v>8149.18</v>
      </c>
      <c r="I23" s="116"/>
    </row>
    <row r="24" spans="1:14" s="115" customFormat="1" x14ac:dyDescent="0.3">
      <c r="A24" s="401"/>
      <c r="B24" s="216" t="s">
        <v>98</v>
      </c>
      <c r="C24" s="216" t="s">
        <v>207</v>
      </c>
      <c r="D24" s="219">
        <v>106840000748</v>
      </c>
      <c r="E24" s="216" t="s">
        <v>99</v>
      </c>
      <c r="F24" s="218">
        <v>417.84</v>
      </c>
      <c r="G24" s="218">
        <v>417.49</v>
      </c>
    </row>
    <row r="25" spans="1:14" s="115" customFormat="1" hidden="1" x14ac:dyDescent="0.3">
      <c r="A25" s="401"/>
      <c r="B25" s="118" t="s">
        <v>212</v>
      </c>
      <c r="C25" s="113" t="s">
        <v>205</v>
      </c>
      <c r="D25" s="117">
        <v>100002800009382</v>
      </c>
      <c r="E25" s="113" t="s">
        <v>93</v>
      </c>
      <c r="F25" s="114"/>
      <c r="G25" s="114"/>
    </row>
    <row r="26" spans="1:14" s="115" customFormat="1" hidden="1" x14ac:dyDescent="0.3">
      <c r="A26" s="401"/>
      <c r="B26" s="118" t="s">
        <v>212</v>
      </c>
      <c r="C26" s="113" t="s">
        <v>206</v>
      </c>
      <c r="D26" s="117">
        <v>100002800009406</v>
      </c>
      <c r="E26" s="113" t="s">
        <v>99</v>
      </c>
      <c r="F26" s="114"/>
      <c r="G26" s="114"/>
    </row>
    <row r="27" spans="1:14" s="115" customFormat="1" hidden="1" x14ac:dyDescent="0.3">
      <c r="A27" s="402"/>
      <c r="B27" s="118" t="s">
        <v>212</v>
      </c>
      <c r="C27" s="113" t="s">
        <v>206</v>
      </c>
      <c r="D27" s="117">
        <v>100002800009393</v>
      </c>
      <c r="E27" s="113" t="s">
        <v>208</v>
      </c>
      <c r="F27" s="114"/>
      <c r="G27" s="114"/>
    </row>
    <row r="28" spans="1:14" x14ac:dyDescent="0.3">
      <c r="A28" s="119"/>
      <c r="B28" s="119"/>
      <c r="C28" s="119"/>
      <c r="D28" s="119"/>
      <c r="E28" s="120"/>
      <c r="F28" s="121"/>
      <c r="G28" s="121"/>
      <c r="H28" s="108"/>
      <c r="I28" s="108"/>
      <c r="J28" s="108"/>
      <c r="K28" s="108"/>
      <c r="L28" s="108"/>
    </row>
    <row r="29" spans="1:14" x14ac:dyDescent="0.3">
      <c r="A29" s="119"/>
      <c r="B29" s="119"/>
      <c r="C29" s="119"/>
      <c r="D29" s="119"/>
      <c r="E29" s="120"/>
      <c r="F29" s="121"/>
      <c r="G29" s="121"/>
      <c r="H29" s="121"/>
      <c r="I29" s="121"/>
      <c r="J29" s="121"/>
      <c r="K29" s="121"/>
      <c r="L29" s="121"/>
      <c r="M29" s="121"/>
      <c r="N29" s="119"/>
    </row>
    <row r="30" spans="1:14" x14ac:dyDescent="0.3">
      <c r="A30" s="119"/>
      <c r="B30" s="119"/>
      <c r="C30" s="119"/>
      <c r="D30" s="119"/>
      <c r="E30" s="120"/>
      <c r="F30" s="121"/>
      <c r="G30" s="120"/>
      <c r="H30" s="120"/>
      <c r="I30" s="120"/>
      <c r="J30" s="120"/>
      <c r="K30" s="120"/>
      <c r="L30" s="120"/>
      <c r="M30" s="119"/>
      <c r="N30" s="119"/>
    </row>
    <row r="31" spans="1:14" x14ac:dyDescent="0.3">
      <c r="A31" s="107" t="s">
        <v>11</v>
      </c>
      <c r="B31" s="119"/>
      <c r="C31" s="119"/>
      <c r="D31" s="119"/>
      <c r="E31" s="120"/>
      <c r="F31" s="121"/>
      <c r="G31" s="120"/>
      <c r="H31" s="120"/>
      <c r="I31" s="120"/>
      <c r="J31" s="120"/>
      <c r="K31" s="120"/>
      <c r="L31" s="120"/>
      <c r="M31" s="119"/>
      <c r="N31" s="119"/>
    </row>
    <row r="32" spans="1:14" x14ac:dyDescent="0.3">
      <c r="A32" s="111" t="s">
        <v>213</v>
      </c>
    </row>
    <row r="33" spans="1:14" x14ac:dyDescent="0.3">
      <c r="A33" s="111"/>
      <c r="B33" s="122" t="s">
        <v>13</v>
      </c>
      <c r="C33" s="122" t="s">
        <v>14</v>
      </c>
      <c r="D33" s="122" t="s">
        <v>15</v>
      </c>
      <c r="E33" s="123" t="s">
        <v>16</v>
      </c>
      <c r="F33" s="124" t="s">
        <v>17</v>
      </c>
      <c r="G33" s="123" t="s">
        <v>18</v>
      </c>
      <c r="H33" s="123" t="s">
        <v>19</v>
      </c>
      <c r="I33" s="122" t="s">
        <v>20</v>
      </c>
      <c r="J33" s="122" t="s">
        <v>21</v>
      </c>
      <c r="K33" s="108"/>
      <c r="L33" s="108"/>
    </row>
    <row r="34" spans="1:14" ht="26" x14ac:dyDescent="0.3">
      <c r="A34" s="125" t="s">
        <v>22</v>
      </c>
      <c r="B34" s="125" t="s">
        <v>23</v>
      </c>
      <c r="C34" s="125" t="s">
        <v>24</v>
      </c>
      <c r="D34" s="125" t="s">
        <v>25</v>
      </c>
      <c r="E34" s="126" t="s">
        <v>26</v>
      </c>
      <c r="F34" s="127" t="s">
        <v>27</v>
      </c>
      <c r="G34" s="126" t="s">
        <v>28</v>
      </c>
      <c r="H34" s="126" t="s">
        <v>29</v>
      </c>
      <c r="I34" s="125" t="s">
        <v>30</v>
      </c>
      <c r="J34" s="125" t="s">
        <v>31</v>
      </c>
      <c r="K34" s="108"/>
      <c r="L34" s="108"/>
    </row>
    <row r="35" spans="1:14" x14ac:dyDescent="0.3">
      <c r="A35" s="119" t="s">
        <v>32</v>
      </c>
      <c r="B35" s="119"/>
      <c r="C35" s="119"/>
      <c r="D35" s="119"/>
      <c r="E35" s="120"/>
      <c r="F35" s="121"/>
      <c r="G35" s="120"/>
      <c r="H35" s="120"/>
      <c r="I35" s="119"/>
      <c r="J35" s="119"/>
      <c r="K35" s="108"/>
      <c r="L35" s="108"/>
    </row>
    <row r="36" spans="1:14" x14ac:dyDescent="0.3">
      <c r="A36" s="119" t="s">
        <v>214</v>
      </c>
      <c r="I36" s="108"/>
      <c r="J36" s="108"/>
      <c r="K36" s="108"/>
      <c r="L36" s="108"/>
    </row>
    <row r="37" spans="1:14" x14ac:dyDescent="0.3">
      <c r="I37" s="108"/>
      <c r="J37" s="108"/>
      <c r="K37" s="108"/>
      <c r="L37" s="108"/>
    </row>
    <row r="38" spans="1:14" x14ac:dyDescent="0.3">
      <c r="I38" s="108"/>
      <c r="J38" s="108"/>
      <c r="K38" s="108"/>
      <c r="L38" s="108"/>
    </row>
    <row r="39" spans="1:14" x14ac:dyDescent="0.3">
      <c r="I39" s="108"/>
      <c r="J39" s="108"/>
      <c r="K39" s="108"/>
      <c r="L39" s="108"/>
    </row>
    <row r="40" spans="1:14" x14ac:dyDescent="0.3">
      <c r="I40" s="108"/>
      <c r="J40" s="108"/>
      <c r="K40" s="108"/>
      <c r="L40" s="108"/>
    </row>
    <row r="41" spans="1:14" x14ac:dyDescent="0.3">
      <c r="I41" s="108"/>
      <c r="J41" s="108"/>
      <c r="K41" s="108"/>
      <c r="L41" s="108"/>
    </row>
    <row r="42" spans="1:14" x14ac:dyDescent="0.3">
      <c r="A42" s="107" t="s">
        <v>33</v>
      </c>
      <c r="I42" s="108"/>
      <c r="J42" s="108"/>
      <c r="K42" s="108"/>
      <c r="L42" s="108"/>
    </row>
    <row r="43" spans="1:14" x14ac:dyDescent="0.3">
      <c r="I43" s="108"/>
      <c r="J43" s="108"/>
      <c r="K43" s="108"/>
      <c r="L43" s="108"/>
    </row>
    <row r="44" spans="1:14" x14ac:dyDescent="0.3">
      <c r="A44" s="128" t="s">
        <v>34</v>
      </c>
      <c r="B44" s="129"/>
      <c r="C44" s="130"/>
      <c r="D44" s="131"/>
      <c r="E44" s="132"/>
      <c r="F44" s="133"/>
      <c r="H44" s="134"/>
      <c r="I44" s="135">
        <v>46112</v>
      </c>
      <c r="J44" s="108"/>
      <c r="K44" s="108"/>
      <c r="L44" s="108"/>
    </row>
    <row r="45" spans="1:14" ht="39" x14ac:dyDescent="0.3">
      <c r="A45" s="136" t="s">
        <v>35</v>
      </c>
      <c r="B45" s="137" t="s">
        <v>3</v>
      </c>
      <c r="C45" s="137" t="s">
        <v>36</v>
      </c>
      <c r="D45" s="137" t="s">
        <v>37</v>
      </c>
      <c r="E45" s="138" t="s">
        <v>38</v>
      </c>
      <c r="F45" s="139" t="s">
        <v>39</v>
      </c>
      <c r="G45" s="138" t="s">
        <v>40</v>
      </c>
      <c r="H45" s="138" t="s">
        <v>41</v>
      </c>
      <c r="I45" s="139" t="s">
        <v>215</v>
      </c>
      <c r="J45" s="108"/>
      <c r="K45" s="108"/>
      <c r="L45" s="108"/>
      <c r="N45" s="140" t="s">
        <v>52</v>
      </c>
    </row>
    <row r="46" spans="1:14" x14ac:dyDescent="0.3">
      <c r="A46" s="403" t="s">
        <v>204</v>
      </c>
      <c r="B46" s="142" t="s">
        <v>100</v>
      </c>
      <c r="C46" s="142" t="s">
        <v>59</v>
      </c>
      <c r="D46" s="142" t="s">
        <v>216</v>
      </c>
      <c r="E46" s="143">
        <v>843566410</v>
      </c>
      <c r="F46" s="144">
        <v>44340</v>
      </c>
      <c r="G46" s="145">
        <v>9.9599999999999994E-2</v>
      </c>
      <c r="H46" s="143" t="str">
        <f t="shared" ref="H46:H53" si="0">IF($I$44&gt;=N46,"0",DATEDIF($I$44,N46,"Y") &amp; " Years " &amp; DATEDIF($I$44,N46,"YM") &amp; " Months")</f>
        <v>5 Years 1 Months</v>
      </c>
      <c r="I46" s="146">
        <v>542524732.0400002</v>
      </c>
      <c r="J46" s="108"/>
      <c r="K46" s="108"/>
      <c r="L46" s="108"/>
      <c r="N46" s="147">
        <f>EDATE(F46, 10*12)</f>
        <v>47992</v>
      </c>
    </row>
    <row r="47" spans="1:14" x14ac:dyDescent="0.3">
      <c r="A47" s="403"/>
      <c r="B47" s="142" t="s">
        <v>100</v>
      </c>
      <c r="C47" s="142" t="s">
        <v>59</v>
      </c>
      <c r="D47" s="142" t="s">
        <v>216</v>
      </c>
      <c r="E47" s="143">
        <v>400000000</v>
      </c>
      <c r="F47" s="144">
        <v>45433</v>
      </c>
      <c r="G47" s="145">
        <v>9.9099999999999994E-2</v>
      </c>
      <c r="H47" s="143" t="str">
        <f t="shared" si="0"/>
        <v>8 Years 1 Months</v>
      </c>
      <c r="I47" s="146">
        <v>326520000</v>
      </c>
      <c r="J47" s="108"/>
      <c r="K47" s="108"/>
      <c r="L47" s="108"/>
      <c r="N47" s="147">
        <f>EDATE(F47, 10*12)</f>
        <v>49085</v>
      </c>
    </row>
    <row r="48" spans="1:14" x14ac:dyDescent="0.3">
      <c r="A48" s="403"/>
      <c r="B48" s="142" t="s">
        <v>77</v>
      </c>
      <c r="C48" s="142" t="s">
        <v>59</v>
      </c>
      <c r="D48" s="142" t="s">
        <v>217</v>
      </c>
      <c r="E48" s="143">
        <v>90000000</v>
      </c>
      <c r="F48" s="144">
        <v>45275</v>
      </c>
      <c r="G48" s="145">
        <v>0.1094</v>
      </c>
      <c r="H48" s="143" t="str">
        <f t="shared" si="0"/>
        <v>2 Years 8 Months</v>
      </c>
      <c r="I48" s="146">
        <v>49500000</v>
      </c>
      <c r="J48" s="108"/>
      <c r="K48" s="108"/>
      <c r="L48" s="108"/>
      <c r="N48" s="147">
        <f>EDATE(F48, 5*12)</f>
        <v>47102</v>
      </c>
    </row>
    <row r="49" spans="1:14" x14ac:dyDescent="0.3">
      <c r="A49" s="403"/>
      <c r="B49" s="142" t="s">
        <v>77</v>
      </c>
      <c r="C49" s="142" t="s">
        <v>59</v>
      </c>
      <c r="D49" s="142" t="s">
        <v>217</v>
      </c>
      <c r="E49" s="143">
        <v>88000000</v>
      </c>
      <c r="F49" s="144">
        <v>45607</v>
      </c>
      <c r="G49" s="145">
        <v>0.1069</v>
      </c>
      <c r="H49" s="143" t="str">
        <f t="shared" si="0"/>
        <v>3 Years 7 Months</v>
      </c>
      <c r="I49" s="146">
        <v>64533333.333333269</v>
      </c>
      <c r="J49" s="108"/>
      <c r="K49" s="108"/>
      <c r="L49" s="108"/>
      <c r="N49" s="147">
        <f>EDATE(F49, 5*12)</f>
        <v>47433</v>
      </c>
    </row>
    <row r="50" spans="1:14" x14ac:dyDescent="0.3">
      <c r="A50" s="403"/>
      <c r="B50" s="142" t="s">
        <v>77</v>
      </c>
      <c r="C50" s="142" t="s">
        <v>59</v>
      </c>
      <c r="D50" s="142" t="s">
        <v>217</v>
      </c>
      <c r="E50" s="143">
        <v>100000000</v>
      </c>
      <c r="F50" s="144">
        <v>45798</v>
      </c>
      <c r="G50" s="145">
        <v>9.74E-2</v>
      </c>
      <c r="H50" s="143" t="str">
        <f t="shared" si="0"/>
        <v>4 Years 1 Months</v>
      </c>
      <c r="I50" s="146">
        <v>83333333.333333284</v>
      </c>
      <c r="J50" s="108"/>
      <c r="K50" s="108"/>
      <c r="L50" s="108"/>
      <c r="N50" s="147">
        <f>EDATE(F50, 5*12)</f>
        <v>47624</v>
      </c>
    </row>
    <row r="51" spans="1:14" x14ac:dyDescent="0.3">
      <c r="A51" s="403"/>
      <c r="B51" s="142" t="s">
        <v>77</v>
      </c>
      <c r="C51" s="142" t="s">
        <v>59</v>
      </c>
      <c r="D51" s="142" t="s">
        <v>217</v>
      </c>
      <c r="E51" s="143">
        <v>90000000</v>
      </c>
      <c r="F51" s="144">
        <v>45947</v>
      </c>
      <c r="G51" s="145">
        <v>9.74E-2</v>
      </c>
      <c r="H51" s="143" t="str">
        <f t="shared" si="0"/>
        <v>4 Years 6 Months</v>
      </c>
      <c r="I51" s="146">
        <v>82500000</v>
      </c>
      <c r="J51" s="108"/>
      <c r="K51" s="108"/>
      <c r="L51" s="108"/>
      <c r="N51" s="147">
        <f>EDATE(F51, 5*12)</f>
        <v>47773</v>
      </c>
    </row>
    <row r="52" spans="1:14" x14ac:dyDescent="0.3">
      <c r="A52" s="403"/>
      <c r="B52" s="142" t="s">
        <v>218</v>
      </c>
      <c r="C52" s="142" t="s">
        <v>59</v>
      </c>
      <c r="D52" s="142" t="s">
        <v>219</v>
      </c>
      <c r="E52" s="143">
        <v>50000000</v>
      </c>
      <c r="F52" s="144">
        <v>45068</v>
      </c>
      <c r="G52" s="148">
        <v>0.16830000000000001</v>
      </c>
      <c r="H52" s="143" t="str">
        <f t="shared" si="0"/>
        <v>0 Years 1 Months</v>
      </c>
      <c r="I52" s="146">
        <v>2777778.0799999787</v>
      </c>
      <c r="J52" s="108"/>
      <c r="K52" s="108"/>
      <c r="L52" s="108"/>
      <c r="N52" s="147">
        <f>EDATE(F52, 3*12)</f>
        <v>46164</v>
      </c>
    </row>
    <row r="53" spans="1:14" x14ac:dyDescent="0.3">
      <c r="A53" s="403"/>
      <c r="B53" s="142" t="s">
        <v>218</v>
      </c>
      <c r="C53" s="142" t="s">
        <v>59</v>
      </c>
      <c r="D53" s="142" t="s">
        <v>217</v>
      </c>
      <c r="E53" s="143">
        <v>73000000</v>
      </c>
      <c r="F53" s="144">
        <v>45876</v>
      </c>
      <c r="G53" s="145">
        <v>8.9099999999999999E-2</v>
      </c>
      <c r="H53" s="143" t="str">
        <f t="shared" si="0"/>
        <v>4 Years 4 Months</v>
      </c>
      <c r="I53" s="146">
        <v>64483333.333333321</v>
      </c>
      <c r="J53" s="108"/>
      <c r="K53" s="108"/>
      <c r="L53" s="108"/>
      <c r="N53" s="147">
        <f>EDATE(F53, 5*12)</f>
        <v>47702</v>
      </c>
    </row>
    <row r="54" spans="1:14" x14ac:dyDescent="0.3">
      <c r="I54" s="108"/>
      <c r="J54" s="108"/>
      <c r="K54" s="108"/>
      <c r="L54" s="108"/>
    </row>
    <row r="57" spans="1:14" x14ac:dyDescent="0.3">
      <c r="A57" s="128" t="s">
        <v>43</v>
      </c>
      <c r="B57" s="149"/>
      <c r="C57" s="150"/>
      <c r="D57" s="128"/>
      <c r="E57" s="151"/>
      <c r="F57" s="152"/>
      <c r="G57" s="153"/>
      <c r="H57" s="153"/>
      <c r="I57" s="153"/>
      <c r="J57" s="153"/>
      <c r="K57" s="153"/>
    </row>
    <row r="58" spans="1:14" ht="52" x14ac:dyDescent="0.3">
      <c r="A58" s="136" t="s">
        <v>35</v>
      </c>
      <c r="B58" s="137" t="s">
        <v>3</v>
      </c>
      <c r="C58" s="137" t="s">
        <v>44</v>
      </c>
      <c r="D58" s="137" t="s">
        <v>37</v>
      </c>
      <c r="E58" s="154" t="s">
        <v>45</v>
      </c>
      <c r="F58" s="155" t="s">
        <v>46</v>
      </c>
      <c r="G58" s="154" t="s">
        <v>220</v>
      </c>
      <c r="H58" s="156"/>
      <c r="I58" s="156"/>
      <c r="J58" s="156"/>
      <c r="K58" s="156"/>
      <c r="L58" s="157"/>
    </row>
    <row r="59" spans="1:14" x14ac:dyDescent="0.3">
      <c r="A59" s="403"/>
      <c r="B59" s="142" t="s">
        <v>77</v>
      </c>
      <c r="C59" s="142" t="s">
        <v>221</v>
      </c>
      <c r="D59" s="142" t="s">
        <v>222</v>
      </c>
      <c r="E59" s="158">
        <v>500000</v>
      </c>
      <c r="F59" s="159">
        <v>5.8799999999999998E-2</v>
      </c>
      <c r="G59" s="158">
        <v>150000</v>
      </c>
      <c r="H59" s="160"/>
      <c r="I59" s="160"/>
      <c r="J59" s="160"/>
      <c r="K59" s="160"/>
      <c r="L59" s="157"/>
    </row>
    <row r="60" spans="1:14" x14ac:dyDescent="0.3">
      <c r="A60" s="403"/>
      <c r="B60" s="142" t="s">
        <v>77</v>
      </c>
      <c r="C60" s="142" t="s">
        <v>221</v>
      </c>
      <c r="D60" s="142" t="s">
        <v>222</v>
      </c>
      <c r="E60" s="158">
        <v>200000</v>
      </c>
      <c r="F60" s="159">
        <v>5.8799999999999998E-2</v>
      </c>
      <c r="G60" s="158">
        <v>200000</v>
      </c>
      <c r="H60" s="160"/>
      <c r="I60" s="160"/>
      <c r="J60" s="160"/>
      <c r="K60" s="160"/>
      <c r="L60" s="157"/>
    </row>
    <row r="61" spans="1:14" x14ac:dyDescent="0.3">
      <c r="A61" s="403"/>
      <c r="B61" s="142" t="s">
        <v>77</v>
      </c>
      <c r="C61" s="142" t="s">
        <v>221</v>
      </c>
      <c r="D61" s="142" t="s">
        <v>222</v>
      </c>
      <c r="E61" s="158">
        <v>400000</v>
      </c>
      <c r="F61" s="159">
        <v>5.8799999999999998E-2</v>
      </c>
      <c r="G61" s="158">
        <v>400000</v>
      </c>
      <c r="H61" s="160"/>
      <c r="I61" s="160"/>
      <c r="J61" s="160"/>
      <c r="K61" s="160"/>
      <c r="L61" s="157"/>
    </row>
    <row r="62" spans="1:14" x14ac:dyDescent="0.3">
      <c r="A62" s="403"/>
      <c r="B62" s="142" t="s">
        <v>100</v>
      </c>
      <c r="C62" s="142" t="s">
        <v>221</v>
      </c>
      <c r="D62" s="142" t="s">
        <v>222</v>
      </c>
      <c r="E62" s="158">
        <v>350000</v>
      </c>
      <c r="F62" s="159">
        <v>6.5000000000000002E-2</v>
      </c>
      <c r="G62" s="158">
        <v>350000</v>
      </c>
      <c r="H62" s="160"/>
      <c r="I62" s="160"/>
      <c r="J62" s="160"/>
      <c r="K62" s="160"/>
      <c r="L62" s="157"/>
    </row>
    <row r="63" spans="1:14" x14ac:dyDescent="0.3">
      <c r="A63" s="403"/>
      <c r="B63" s="142" t="s">
        <v>100</v>
      </c>
      <c r="C63" s="142" t="s">
        <v>221</v>
      </c>
      <c r="D63" s="142" t="s">
        <v>222</v>
      </c>
      <c r="E63" s="158">
        <v>500000</v>
      </c>
      <c r="F63" s="159">
        <v>6.5000000000000002E-2</v>
      </c>
      <c r="G63" s="158">
        <v>500000</v>
      </c>
      <c r="H63" s="160"/>
      <c r="I63" s="160"/>
      <c r="J63" s="160"/>
      <c r="K63" s="160"/>
      <c r="L63" s="157"/>
    </row>
    <row r="64" spans="1:14" x14ac:dyDescent="0.3">
      <c r="A64" s="403"/>
      <c r="B64" s="142" t="s">
        <v>100</v>
      </c>
      <c r="C64" s="142" t="s">
        <v>221</v>
      </c>
      <c r="D64" s="142" t="s">
        <v>222</v>
      </c>
      <c r="E64" s="158">
        <v>400000</v>
      </c>
      <c r="F64" s="159">
        <v>6.5000000000000002E-2</v>
      </c>
      <c r="G64" s="158">
        <v>400000</v>
      </c>
      <c r="H64" s="160"/>
      <c r="I64" s="160"/>
      <c r="J64" s="160"/>
      <c r="K64" s="160"/>
      <c r="L64" s="157"/>
    </row>
    <row r="65" spans="1:12" x14ac:dyDescent="0.3">
      <c r="A65" s="403"/>
      <c r="B65" s="142" t="s">
        <v>100</v>
      </c>
      <c r="C65" s="142" t="s">
        <v>221</v>
      </c>
      <c r="D65" s="142" t="s">
        <v>222</v>
      </c>
      <c r="E65" s="158">
        <v>400000</v>
      </c>
      <c r="F65" s="159">
        <v>6.5000000000000002E-2</v>
      </c>
      <c r="G65" s="158">
        <v>400000</v>
      </c>
      <c r="H65" s="160"/>
      <c r="I65" s="160"/>
      <c r="J65" s="160"/>
      <c r="K65" s="160"/>
      <c r="L65" s="157"/>
    </row>
    <row r="66" spans="1:12" x14ac:dyDescent="0.3">
      <c r="A66" s="403"/>
      <c r="B66" s="142" t="s">
        <v>367</v>
      </c>
      <c r="C66" s="142" t="s">
        <v>221</v>
      </c>
      <c r="D66" s="142" t="s">
        <v>222</v>
      </c>
      <c r="E66" s="158">
        <v>200000</v>
      </c>
      <c r="F66" s="159">
        <v>6.5000000000000002E-2</v>
      </c>
      <c r="G66" s="158">
        <v>200000</v>
      </c>
      <c r="H66" s="160"/>
      <c r="I66" s="160"/>
      <c r="J66" s="160"/>
      <c r="K66" s="160"/>
      <c r="L66" s="157"/>
    </row>
    <row r="67" spans="1:12" x14ac:dyDescent="0.3">
      <c r="A67" s="403"/>
      <c r="B67" s="142" t="s">
        <v>368</v>
      </c>
      <c r="C67" s="142" t="s">
        <v>221</v>
      </c>
      <c r="D67" s="142" t="s">
        <v>222</v>
      </c>
      <c r="E67" s="158">
        <v>400000</v>
      </c>
      <c r="F67" s="159">
        <v>0.06</v>
      </c>
      <c r="G67" s="158">
        <v>160000</v>
      </c>
      <c r="H67" s="160"/>
      <c r="I67" s="160"/>
      <c r="J67" s="160"/>
      <c r="K67" s="160"/>
      <c r="L67" s="157"/>
    </row>
    <row r="68" spans="1:12" x14ac:dyDescent="0.3">
      <c r="A68" s="403"/>
      <c r="B68" s="142" t="s">
        <v>368</v>
      </c>
      <c r="C68" s="142" t="s">
        <v>221</v>
      </c>
      <c r="D68" s="142" t="s">
        <v>222</v>
      </c>
      <c r="E68" s="158">
        <v>300000</v>
      </c>
      <c r="F68" s="159">
        <v>6.5000000000000002E-2</v>
      </c>
      <c r="G68" s="158">
        <v>300000</v>
      </c>
      <c r="H68" s="160"/>
      <c r="I68" s="160"/>
      <c r="J68" s="160"/>
      <c r="K68" s="160"/>
      <c r="L68" s="157"/>
    </row>
    <row r="69" spans="1:12" x14ac:dyDescent="0.3">
      <c r="A69" s="403"/>
      <c r="B69" s="142" t="s">
        <v>368</v>
      </c>
      <c r="C69" s="142" t="s">
        <v>221</v>
      </c>
      <c r="D69" s="142" t="s">
        <v>222</v>
      </c>
      <c r="E69" s="158">
        <v>350000</v>
      </c>
      <c r="F69" s="159">
        <v>6.5000000000000002E-2</v>
      </c>
      <c r="G69" s="158">
        <v>350000</v>
      </c>
      <c r="H69" s="160"/>
      <c r="I69" s="160"/>
      <c r="J69" s="160"/>
      <c r="K69" s="160"/>
      <c r="L69" s="157"/>
    </row>
    <row r="70" spans="1:12" x14ac:dyDescent="0.3">
      <c r="A70" s="403"/>
      <c r="B70" s="142" t="s">
        <v>223</v>
      </c>
      <c r="C70" s="142" t="s">
        <v>224</v>
      </c>
      <c r="D70" s="142" t="s">
        <v>225</v>
      </c>
      <c r="E70" s="158">
        <v>225000000</v>
      </c>
      <c r="F70" s="159">
        <v>8.9899999999999994E-2</v>
      </c>
      <c r="G70" s="158">
        <v>150000000</v>
      </c>
      <c r="H70" s="160"/>
      <c r="I70" s="160"/>
      <c r="J70" s="160"/>
      <c r="K70" s="160"/>
      <c r="L70" s="157"/>
    </row>
    <row r="71" spans="1:12" x14ac:dyDescent="0.3">
      <c r="A71" s="403"/>
      <c r="B71" s="142" t="s">
        <v>223</v>
      </c>
      <c r="C71" s="142" t="s">
        <v>224</v>
      </c>
      <c r="D71" s="142" t="s">
        <v>225</v>
      </c>
      <c r="E71" s="158">
        <v>50000000</v>
      </c>
      <c r="F71" s="159">
        <v>9.0300000000000005E-2</v>
      </c>
      <c r="G71" s="158">
        <v>100000000</v>
      </c>
      <c r="H71" s="160"/>
      <c r="I71" s="160"/>
      <c r="J71" s="160"/>
      <c r="K71" s="160"/>
      <c r="L71" s="157"/>
    </row>
    <row r="72" spans="1:12" x14ac:dyDescent="0.3">
      <c r="A72" s="403"/>
      <c r="B72" s="142" t="s">
        <v>223</v>
      </c>
      <c r="C72" s="142" t="s">
        <v>224</v>
      </c>
      <c r="D72" s="142" t="s">
        <v>225</v>
      </c>
      <c r="E72" s="158">
        <v>75000000</v>
      </c>
      <c r="F72" s="159">
        <v>9.1899999999999996E-2</v>
      </c>
      <c r="G72" s="158">
        <v>50000000</v>
      </c>
      <c r="H72" s="160"/>
      <c r="I72" s="160"/>
      <c r="J72" s="160"/>
      <c r="K72" s="160"/>
      <c r="L72" s="157"/>
    </row>
    <row r="73" spans="1:12" x14ac:dyDescent="0.3">
      <c r="A73" s="403"/>
      <c r="B73" s="142" t="s">
        <v>223</v>
      </c>
      <c r="C73" s="142" t="s">
        <v>224</v>
      </c>
      <c r="D73" s="142" t="s">
        <v>225</v>
      </c>
      <c r="E73" s="158">
        <v>125000000</v>
      </c>
      <c r="F73" s="159">
        <v>9.1899999999999996E-2</v>
      </c>
      <c r="G73" s="158">
        <v>50000000</v>
      </c>
      <c r="H73" s="160"/>
      <c r="I73" s="160"/>
      <c r="J73" s="160"/>
      <c r="K73" s="160"/>
      <c r="L73" s="157"/>
    </row>
    <row r="74" spans="1:12" x14ac:dyDescent="0.3">
      <c r="A74" s="403"/>
      <c r="B74" s="142" t="s">
        <v>223</v>
      </c>
      <c r="C74" s="142" t="s">
        <v>224</v>
      </c>
      <c r="D74" s="142" t="s">
        <v>225</v>
      </c>
      <c r="E74" s="158">
        <v>100000000</v>
      </c>
      <c r="F74" s="159">
        <v>9.4399999999999998E-2</v>
      </c>
      <c r="G74" s="158">
        <v>125000000</v>
      </c>
      <c r="H74" s="160"/>
      <c r="I74" s="160"/>
      <c r="J74" s="160"/>
      <c r="K74" s="160"/>
      <c r="L74" s="157"/>
    </row>
    <row r="75" spans="1:12" x14ac:dyDescent="0.3">
      <c r="A75" s="403"/>
      <c r="B75" s="142" t="s">
        <v>223</v>
      </c>
      <c r="C75" s="142" t="s">
        <v>224</v>
      </c>
      <c r="D75" s="142" t="s">
        <v>225</v>
      </c>
      <c r="E75" s="158">
        <v>100000000</v>
      </c>
      <c r="F75" s="159">
        <v>9.4399999999999998E-2</v>
      </c>
      <c r="G75" s="158">
        <v>125000000</v>
      </c>
      <c r="H75" s="160"/>
      <c r="I75" s="160"/>
      <c r="J75" s="160"/>
      <c r="K75" s="160"/>
      <c r="L75" s="157"/>
    </row>
    <row r="76" spans="1:12" x14ac:dyDescent="0.3">
      <c r="A76" s="403"/>
      <c r="B76" s="142" t="s">
        <v>223</v>
      </c>
      <c r="C76" s="142" t="s">
        <v>224</v>
      </c>
      <c r="D76" s="142" t="s">
        <v>225</v>
      </c>
      <c r="E76" s="158">
        <v>125000000</v>
      </c>
      <c r="F76" s="159">
        <v>9.2299999999999993E-2</v>
      </c>
      <c r="G76" s="158">
        <v>100000000</v>
      </c>
      <c r="H76" s="160"/>
      <c r="I76" s="160"/>
      <c r="J76" s="160"/>
      <c r="K76" s="160"/>
      <c r="L76" s="157"/>
    </row>
    <row r="77" spans="1:12" x14ac:dyDescent="0.3">
      <c r="A77" s="403"/>
      <c r="B77" s="142" t="s">
        <v>223</v>
      </c>
      <c r="C77" s="142" t="s">
        <v>224</v>
      </c>
      <c r="D77" s="142" t="s">
        <v>225</v>
      </c>
      <c r="E77" s="158">
        <v>225000000</v>
      </c>
      <c r="F77" s="159">
        <v>9.1300000000000006E-2</v>
      </c>
      <c r="G77" s="158">
        <v>100000000</v>
      </c>
      <c r="H77" s="160"/>
      <c r="I77" s="160"/>
      <c r="J77" s="160"/>
      <c r="K77" s="160"/>
      <c r="L77" s="157"/>
    </row>
    <row r="78" spans="1:12" x14ac:dyDescent="0.3">
      <c r="A78" s="403"/>
      <c r="B78" s="142" t="s">
        <v>223</v>
      </c>
      <c r="C78" s="142" t="s">
        <v>224</v>
      </c>
      <c r="D78" s="142" t="s">
        <v>225</v>
      </c>
      <c r="E78" s="158">
        <v>100000000</v>
      </c>
      <c r="F78" s="159">
        <v>9.5699999999999993E-2</v>
      </c>
      <c r="G78" s="158">
        <v>200000000</v>
      </c>
      <c r="H78" s="160"/>
      <c r="I78" s="160"/>
      <c r="J78" s="160"/>
      <c r="K78" s="160"/>
      <c r="L78" s="157"/>
    </row>
    <row r="79" spans="1:12" x14ac:dyDescent="0.3">
      <c r="A79" s="403"/>
      <c r="B79" s="142" t="s">
        <v>223</v>
      </c>
      <c r="C79" s="142" t="s">
        <v>224</v>
      </c>
      <c r="D79" s="142" t="s">
        <v>225</v>
      </c>
      <c r="E79" s="158">
        <v>50000000</v>
      </c>
      <c r="F79" s="159">
        <v>9.6000000000000002E-2</v>
      </c>
      <c r="G79" s="158">
        <v>70000000</v>
      </c>
      <c r="H79" s="160"/>
      <c r="I79" s="160"/>
      <c r="J79" s="160"/>
      <c r="K79" s="160"/>
      <c r="L79" s="157"/>
    </row>
    <row r="80" spans="1:12" x14ac:dyDescent="0.3">
      <c r="A80" s="403"/>
      <c r="B80" s="142" t="s">
        <v>223</v>
      </c>
      <c r="C80" s="142" t="s">
        <v>224</v>
      </c>
      <c r="D80" s="142" t="s">
        <v>225</v>
      </c>
      <c r="E80" s="158">
        <v>50000000</v>
      </c>
      <c r="F80" s="159">
        <v>9.4299999999999995E-2</v>
      </c>
      <c r="G80" s="158">
        <v>100000000</v>
      </c>
      <c r="H80" s="160"/>
      <c r="I80" s="160"/>
      <c r="J80" s="160"/>
      <c r="K80" s="160"/>
      <c r="L80" s="157"/>
    </row>
    <row r="81" spans="1:12" x14ac:dyDescent="0.3">
      <c r="A81" s="403"/>
      <c r="B81" s="142" t="s">
        <v>223</v>
      </c>
      <c r="C81" s="142" t="s">
        <v>224</v>
      </c>
      <c r="D81" s="142" t="s">
        <v>225</v>
      </c>
      <c r="E81" s="158">
        <v>125000000</v>
      </c>
      <c r="F81" s="159">
        <v>9.5100000000000004E-2</v>
      </c>
      <c r="G81" s="158">
        <v>75000000</v>
      </c>
      <c r="H81" s="160"/>
      <c r="I81" s="160"/>
      <c r="J81" s="160"/>
      <c r="K81" s="160"/>
      <c r="L81" s="157"/>
    </row>
    <row r="82" spans="1:12" x14ac:dyDescent="0.3">
      <c r="A82" s="403"/>
      <c r="B82" s="142" t="s">
        <v>223</v>
      </c>
      <c r="C82" s="142" t="s">
        <v>224</v>
      </c>
      <c r="D82" s="142" t="s">
        <v>225</v>
      </c>
      <c r="E82" s="158">
        <v>125000000</v>
      </c>
      <c r="F82" s="159">
        <v>9.5100000000000004E-2</v>
      </c>
      <c r="G82" s="158">
        <v>75000000</v>
      </c>
      <c r="H82" s="160"/>
      <c r="I82" s="160"/>
      <c r="J82" s="160"/>
      <c r="K82" s="160"/>
      <c r="L82" s="157"/>
    </row>
    <row r="83" spans="1:12" x14ac:dyDescent="0.3">
      <c r="A83" s="403"/>
      <c r="B83" s="142" t="s">
        <v>77</v>
      </c>
      <c r="C83" s="142" t="s">
        <v>224</v>
      </c>
      <c r="D83" s="142" t="s">
        <v>222</v>
      </c>
      <c r="E83" s="158">
        <v>100000000</v>
      </c>
      <c r="F83" s="159">
        <v>9.4399999999999998E-2</v>
      </c>
      <c r="G83" s="158">
        <v>100000000</v>
      </c>
      <c r="H83" s="160"/>
      <c r="I83" s="160"/>
      <c r="J83" s="160"/>
      <c r="K83" s="160"/>
      <c r="L83" s="157"/>
    </row>
    <row r="84" spans="1:12" x14ac:dyDescent="0.3">
      <c r="A84" s="403"/>
      <c r="B84" s="142" t="s">
        <v>77</v>
      </c>
      <c r="C84" s="142" t="s">
        <v>224</v>
      </c>
      <c r="D84" s="142" t="s">
        <v>222</v>
      </c>
      <c r="E84" s="158">
        <v>100000000</v>
      </c>
      <c r="F84" s="159">
        <v>9.2299999999999993E-2</v>
      </c>
      <c r="G84" s="158">
        <v>100000000</v>
      </c>
      <c r="H84" s="160"/>
      <c r="I84" s="160"/>
      <c r="J84" s="160"/>
      <c r="K84" s="160"/>
      <c r="L84" s="157"/>
    </row>
    <row r="85" spans="1:12" x14ac:dyDescent="0.3">
      <c r="A85" s="403"/>
      <c r="B85" s="142" t="s">
        <v>77</v>
      </c>
      <c r="C85" s="142" t="s">
        <v>224</v>
      </c>
      <c r="D85" s="142" t="s">
        <v>222</v>
      </c>
      <c r="E85" s="158">
        <v>125000000</v>
      </c>
      <c r="F85" s="159">
        <v>9.2299999999999993E-2</v>
      </c>
      <c r="G85" s="158">
        <v>125000000</v>
      </c>
      <c r="H85" s="160"/>
      <c r="I85" s="160"/>
      <c r="J85" s="160"/>
      <c r="K85" s="160"/>
      <c r="L85" s="157"/>
    </row>
    <row r="86" spans="1:12" x14ac:dyDescent="0.3">
      <c r="A86" s="403"/>
      <c r="B86" s="142" t="s">
        <v>77</v>
      </c>
      <c r="C86" s="142" t="s">
        <v>224</v>
      </c>
      <c r="D86" s="142" t="s">
        <v>222</v>
      </c>
      <c r="E86" s="158">
        <v>100000000</v>
      </c>
      <c r="F86" s="159">
        <v>9.5699999999999993E-2</v>
      </c>
      <c r="G86" s="158">
        <v>100000000</v>
      </c>
      <c r="H86" s="160"/>
      <c r="I86" s="160"/>
      <c r="J86" s="160"/>
      <c r="K86" s="160"/>
      <c r="L86" s="157"/>
    </row>
    <row r="87" spans="1:12" x14ac:dyDescent="0.3">
      <c r="A87" s="403"/>
      <c r="B87" s="142" t="s">
        <v>77</v>
      </c>
      <c r="C87" s="142" t="s">
        <v>224</v>
      </c>
      <c r="D87" s="142" t="s">
        <v>222</v>
      </c>
      <c r="E87" s="158">
        <v>150000000</v>
      </c>
      <c r="F87" s="159">
        <v>9.5699999999999993E-2</v>
      </c>
      <c r="G87" s="158">
        <v>150000000</v>
      </c>
      <c r="H87" s="160"/>
      <c r="I87" s="160"/>
      <c r="J87" s="160"/>
      <c r="K87" s="160"/>
      <c r="L87" s="157"/>
    </row>
    <row r="88" spans="1:12" x14ac:dyDescent="0.3">
      <c r="A88" s="403"/>
      <c r="B88" s="142" t="s">
        <v>77</v>
      </c>
      <c r="C88" s="142" t="s">
        <v>224</v>
      </c>
      <c r="D88" s="142" t="s">
        <v>222</v>
      </c>
      <c r="E88" s="158">
        <v>50000000</v>
      </c>
      <c r="F88" s="159">
        <v>9.5299999999999996E-2</v>
      </c>
      <c r="G88" s="158">
        <v>50000000</v>
      </c>
      <c r="H88" s="160"/>
      <c r="I88" s="160"/>
      <c r="J88" s="160"/>
      <c r="K88" s="160"/>
      <c r="L88" s="157"/>
    </row>
    <row r="89" spans="1:12" x14ac:dyDescent="0.3">
      <c r="A89" s="403"/>
      <c r="B89" s="142" t="s">
        <v>77</v>
      </c>
      <c r="C89" s="142" t="s">
        <v>224</v>
      </c>
      <c r="D89" s="142" t="s">
        <v>222</v>
      </c>
      <c r="E89" s="158">
        <v>75000000</v>
      </c>
      <c r="F89" s="159">
        <v>9.4299999999999995E-2</v>
      </c>
      <c r="G89" s="158">
        <v>75000000</v>
      </c>
      <c r="H89" s="160"/>
      <c r="I89" s="160"/>
      <c r="J89" s="160"/>
      <c r="K89" s="160"/>
      <c r="L89" s="157"/>
    </row>
    <row r="90" spans="1:12" x14ac:dyDescent="0.3">
      <c r="A90" s="403"/>
      <c r="B90" s="142" t="s">
        <v>77</v>
      </c>
      <c r="C90" s="142" t="s">
        <v>224</v>
      </c>
      <c r="D90" s="142" t="s">
        <v>222</v>
      </c>
      <c r="E90" s="158">
        <v>75000000</v>
      </c>
      <c r="F90" s="159">
        <v>9.5100000000000004E-2</v>
      </c>
      <c r="G90" s="158">
        <v>75000000</v>
      </c>
      <c r="H90" s="160"/>
      <c r="I90" s="160"/>
      <c r="J90" s="160"/>
      <c r="K90" s="160"/>
      <c r="L90" s="157"/>
    </row>
    <row r="91" spans="1:12" x14ac:dyDescent="0.3">
      <c r="A91" s="403"/>
      <c r="B91" s="142" t="s">
        <v>77</v>
      </c>
      <c r="C91" s="142" t="s">
        <v>224</v>
      </c>
      <c r="D91" s="142" t="s">
        <v>222</v>
      </c>
      <c r="E91" s="158">
        <v>100000000</v>
      </c>
      <c r="F91" s="159">
        <v>9.5299999999999996E-2</v>
      </c>
      <c r="G91" s="158">
        <v>100000000</v>
      </c>
      <c r="H91" s="160"/>
      <c r="I91" s="160"/>
      <c r="J91" s="160"/>
      <c r="K91" s="160"/>
      <c r="L91" s="157"/>
    </row>
    <row r="92" spans="1:12" x14ac:dyDescent="0.3">
      <c r="A92" s="403"/>
      <c r="B92" s="142" t="s">
        <v>226</v>
      </c>
      <c r="C92" s="142" t="s">
        <v>224</v>
      </c>
      <c r="D92" s="142" t="s">
        <v>222</v>
      </c>
      <c r="E92" s="158">
        <v>75000000</v>
      </c>
      <c r="F92" s="159">
        <v>9.0700000000000003E-2</v>
      </c>
      <c r="G92" s="158">
        <v>75000000</v>
      </c>
      <c r="H92" s="160"/>
      <c r="I92" s="160"/>
      <c r="J92" s="160"/>
      <c r="K92" s="160"/>
      <c r="L92" s="157"/>
    </row>
    <row r="93" spans="1:12" x14ac:dyDescent="0.3">
      <c r="A93" s="403"/>
      <c r="B93" s="142" t="s">
        <v>226</v>
      </c>
      <c r="C93" s="142" t="s">
        <v>224</v>
      </c>
      <c r="D93" s="142" t="s">
        <v>222</v>
      </c>
      <c r="E93" s="158">
        <v>75000000</v>
      </c>
      <c r="F93" s="159">
        <v>9.1899999999999996E-2</v>
      </c>
      <c r="G93" s="158">
        <v>75000000</v>
      </c>
      <c r="H93" s="160"/>
      <c r="I93" s="160"/>
      <c r="J93" s="160"/>
      <c r="K93" s="160"/>
      <c r="L93" s="157"/>
    </row>
    <row r="94" spans="1:12" x14ac:dyDescent="0.3">
      <c r="A94" s="403"/>
      <c r="B94" s="142" t="s">
        <v>226</v>
      </c>
      <c r="C94" s="142" t="s">
        <v>224</v>
      </c>
      <c r="D94" s="142" t="s">
        <v>222</v>
      </c>
      <c r="E94" s="158">
        <v>100000000</v>
      </c>
      <c r="F94" s="159">
        <v>8.9800000000000005E-2</v>
      </c>
      <c r="G94" s="158">
        <v>100000000</v>
      </c>
      <c r="H94" s="160"/>
      <c r="I94" s="160"/>
      <c r="J94" s="160"/>
      <c r="K94" s="160"/>
      <c r="L94" s="157"/>
    </row>
    <row r="95" spans="1:12" x14ac:dyDescent="0.3">
      <c r="A95" s="403"/>
      <c r="B95" s="142" t="s">
        <v>226</v>
      </c>
      <c r="C95" s="142" t="s">
        <v>224</v>
      </c>
      <c r="D95" s="142" t="s">
        <v>222</v>
      </c>
      <c r="E95" s="158">
        <v>120000000</v>
      </c>
      <c r="F95" s="159">
        <v>8.9800000000000005E-2</v>
      </c>
      <c r="G95" s="158">
        <v>120000000</v>
      </c>
      <c r="H95" s="160"/>
      <c r="I95" s="160"/>
      <c r="J95" s="160"/>
      <c r="K95" s="160"/>
      <c r="L95" s="157"/>
    </row>
    <row r="96" spans="1:12" x14ac:dyDescent="0.3">
      <c r="A96" s="403"/>
      <c r="B96" s="142" t="s">
        <v>226</v>
      </c>
      <c r="C96" s="142" t="s">
        <v>224</v>
      </c>
      <c r="D96" s="142" t="s">
        <v>222</v>
      </c>
      <c r="E96" s="158">
        <v>100000000</v>
      </c>
      <c r="F96" s="159">
        <v>8.7999999999999995E-2</v>
      </c>
      <c r="G96" s="158">
        <v>100000000</v>
      </c>
      <c r="H96" s="160"/>
      <c r="I96" s="160"/>
      <c r="J96" s="160"/>
      <c r="K96" s="160"/>
      <c r="L96" s="157"/>
    </row>
    <row r="97" spans="1:12" x14ac:dyDescent="0.3">
      <c r="A97" s="403"/>
      <c r="B97" s="142" t="s">
        <v>226</v>
      </c>
      <c r="C97" s="142" t="s">
        <v>224</v>
      </c>
      <c r="D97" s="142" t="s">
        <v>222</v>
      </c>
      <c r="E97" s="158">
        <v>125000000</v>
      </c>
      <c r="F97" s="159">
        <v>9.3200000000000005E-2</v>
      </c>
      <c r="G97" s="158">
        <v>125000000</v>
      </c>
      <c r="H97" s="160"/>
      <c r="I97" s="160"/>
      <c r="J97" s="160"/>
      <c r="K97" s="160"/>
      <c r="L97" s="157"/>
    </row>
    <row r="98" spans="1:12" x14ac:dyDescent="0.3">
      <c r="A98" s="403"/>
      <c r="B98" s="142" t="s">
        <v>226</v>
      </c>
      <c r="C98" s="142" t="s">
        <v>224</v>
      </c>
      <c r="D98" s="142" t="s">
        <v>222</v>
      </c>
      <c r="E98" s="158">
        <v>50000000</v>
      </c>
      <c r="F98" s="159">
        <v>9.35E-2</v>
      </c>
      <c r="G98" s="158">
        <v>50000000</v>
      </c>
      <c r="H98" s="160"/>
      <c r="I98" s="160"/>
      <c r="J98" s="160"/>
      <c r="K98" s="160"/>
      <c r="L98" s="157"/>
    </row>
    <row r="99" spans="1:12" x14ac:dyDescent="0.3">
      <c r="A99" s="403"/>
      <c r="B99" s="142" t="s">
        <v>226</v>
      </c>
      <c r="C99" s="142" t="s">
        <v>224</v>
      </c>
      <c r="D99" s="142" t="s">
        <v>222</v>
      </c>
      <c r="E99" s="158">
        <v>70000000</v>
      </c>
      <c r="F99" s="159">
        <v>9.1800000000000007E-2</v>
      </c>
      <c r="G99" s="158">
        <v>70000000</v>
      </c>
      <c r="H99" s="160"/>
      <c r="I99" s="160"/>
      <c r="J99" s="160"/>
      <c r="K99" s="160"/>
      <c r="L99" s="157"/>
    </row>
    <row r="100" spans="1:12" x14ac:dyDescent="0.3">
      <c r="A100" s="403"/>
      <c r="B100" s="142" t="s">
        <v>227</v>
      </c>
      <c r="C100" s="142" t="s">
        <v>224</v>
      </c>
      <c r="D100" s="142" t="s">
        <v>222</v>
      </c>
      <c r="E100" s="158">
        <v>150000000</v>
      </c>
      <c r="F100" s="159">
        <v>9.4200000000000006E-2</v>
      </c>
      <c r="G100" s="158">
        <v>150000000</v>
      </c>
      <c r="H100" s="160"/>
      <c r="I100" s="160"/>
      <c r="J100" s="160"/>
      <c r="K100" s="160"/>
      <c r="L100" s="157"/>
    </row>
    <row r="101" spans="1:12" x14ac:dyDescent="0.3">
      <c r="A101" s="403"/>
      <c r="B101" s="142" t="s">
        <v>227</v>
      </c>
      <c r="C101" s="142" t="s">
        <v>224</v>
      </c>
      <c r="D101" s="142" t="s">
        <v>222</v>
      </c>
      <c r="E101" s="158">
        <v>75000000</v>
      </c>
      <c r="F101" s="159">
        <v>9.4200000000000006E-2</v>
      </c>
      <c r="G101" s="158">
        <v>75000000</v>
      </c>
      <c r="H101" s="160"/>
      <c r="I101" s="160"/>
      <c r="J101" s="160"/>
      <c r="K101" s="160"/>
      <c r="L101" s="157"/>
    </row>
    <row r="102" spans="1:12" x14ac:dyDescent="0.3">
      <c r="A102" s="403"/>
      <c r="B102" s="142" t="s">
        <v>227</v>
      </c>
      <c r="C102" s="142" t="s">
        <v>224</v>
      </c>
      <c r="D102" s="142" t="s">
        <v>222</v>
      </c>
      <c r="E102" s="158">
        <v>100000000</v>
      </c>
      <c r="F102" s="159">
        <v>9.4200000000000006E-2</v>
      </c>
      <c r="G102" s="158">
        <v>100000000</v>
      </c>
      <c r="H102" s="160"/>
      <c r="I102" s="160"/>
      <c r="J102" s="160"/>
      <c r="K102" s="160"/>
      <c r="L102" s="157"/>
    </row>
    <row r="105" spans="1:12" x14ac:dyDescent="0.3">
      <c r="A105" s="128" t="s">
        <v>48</v>
      </c>
      <c r="B105" s="129"/>
      <c r="C105" s="130"/>
      <c r="D105" s="131"/>
      <c r="E105" s="161"/>
      <c r="F105" s="133"/>
      <c r="G105" s="161"/>
      <c r="H105" s="161"/>
      <c r="I105" s="161"/>
      <c r="J105" s="161"/>
      <c r="K105" s="161"/>
    </row>
    <row r="106" spans="1:12" ht="26" x14ac:dyDescent="0.3">
      <c r="A106" s="136" t="s">
        <v>35</v>
      </c>
      <c r="B106" s="162" t="s">
        <v>49</v>
      </c>
      <c r="C106" s="162" t="s">
        <v>50</v>
      </c>
      <c r="D106" s="163" t="s">
        <v>51</v>
      </c>
      <c r="E106" s="138" t="s">
        <v>52</v>
      </c>
      <c r="F106" s="164" t="s">
        <v>37</v>
      </c>
      <c r="G106" s="165" t="s">
        <v>46</v>
      </c>
      <c r="H106" s="165"/>
      <c r="I106" s="165"/>
      <c r="J106" s="165"/>
      <c r="K106" s="165"/>
      <c r="L106" s="138" t="s">
        <v>53</v>
      </c>
    </row>
    <row r="107" spans="1:12" x14ac:dyDescent="0.3">
      <c r="A107" s="403" t="s">
        <v>228</v>
      </c>
      <c r="B107" s="142" t="s">
        <v>229</v>
      </c>
      <c r="C107" s="143">
        <v>8355039.0300000003</v>
      </c>
      <c r="D107" s="166">
        <v>45939</v>
      </c>
      <c r="E107" s="144">
        <v>46304</v>
      </c>
      <c r="F107" s="167" t="s">
        <v>230</v>
      </c>
      <c r="G107" s="143" t="s">
        <v>231</v>
      </c>
      <c r="H107" s="143"/>
      <c r="I107" s="143"/>
      <c r="J107" s="143"/>
      <c r="K107" s="143"/>
      <c r="L107" s="143"/>
    </row>
    <row r="108" spans="1:12" x14ac:dyDescent="0.3">
      <c r="A108" s="403"/>
      <c r="B108" s="142" t="s">
        <v>229</v>
      </c>
      <c r="C108" s="143">
        <v>7139775.5</v>
      </c>
      <c r="D108" s="166">
        <v>46088</v>
      </c>
      <c r="E108" s="144">
        <v>46453</v>
      </c>
      <c r="F108" s="167" t="s">
        <v>230</v>
      </c>
      <c r="G108" s="143" t="s">
        <v>231</v>
      </c>
      <c r="H108" s="143"/>
      <c r="I108" s="143"/>
      <c r="J108" s="143"/>
      <c r="K108" s="143"/>
      <c r="L108" s="143"/>
    </row>
    <row r="109" spans="1:12" x14ac:dyDescent="0.3">
      <c r="A109" s="403"/>
      <c r="B109" s="142" t="s">
        <v>229</v>
      </c>
      <c r="C109" s="143">
        <v>11842692.42</v>
      </c>
      <c r="D109" s="166">
        <v>46094</v>
      </c>
      <c r="E109" s="144">
        <v>46459</v>
      </c>
      <c r="F109" s="167" t="s">
        <v>230</v>
      </c>
      <c r="G109" s="143" t="s">
        <v>231</v>
      </c>
      <c r="H109" s="143"/>
      <c r="I109" s="143"/>
      <c r="J109" s="143"/>
      <c r="K109" s="143"/>
      <c r="L109" s="143"/>
    </row>
  </sheetData>
  <mergeCells count="11">
    <mergeCell ref="G4:G6"/>
    <mergeCell ref="A7:A27"/>
    <mergeCell ref="A46:A53"/>
    <mergeCell ref="A59:A102"/>
    <mergeCell ref="A107:A109"/>
    <mergeCell ref="A4:A6"/>
    <mergeCell ref="B4:B6"/>
    <mergeCell ref="C4:C6"/>
    <mergeCell ref="D4:D6"/>
    <mergeCell ref="E4:E6"/>
    <mergeCell ref="F4:F6"/>
  </mergeCells>
  <pageMargins left="0.7" right="0.7" top="0.75" bottom="0.75" header="0.3" footer="0.3"/>
  <pageSetup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A7030-75B9-4743-8932-DD0C41E25773}">
  <dimension ref="A1:Q54"/>
  <sheetViews>
    <sheetView workbookViewId="0">
      <selection activeCell="B9" sqref="B9"/>
    </sheetView>
  </sheetViews>
  <sheetFormatPr defaultColWidth="18.453125" defaultRowHeight="13" x14ac:dyDescent="0.3"/>
  <cols>
    <col min="1" max="1" width="22.08984375" style="108" customWidth="1"/>
    <col min="2" max="2" width="17.90625" style="108" bestFit="1" customWidth="1"/>
    <col min="3" max="3" width="19" style="108" bestFit="1" customWidth="1"/>
    <col min="4" max="4" width="17.1796875" style="108" bestFit="1" customWidth="1"/>
    <col min="5" max="5" width="13.54296875" style="108" bestFit="1" customWidth="1"/>
    <col min="6" max="6" width="17.54296875" style="108" bestFit="1" customWidth="1"/>
    <col min="7" max="7" width="17.6328125" style="108" bestFit="1" customWidth="1"/>
    <col min="8" max="8" width="24.36328125" style="108" customWidth="1"/>
    <col min="9" max="9" width="14.81640625" style="108" customWidth="1"/>
    <col min="10" max="10" width="14" style="108" bestFit="1" customWidth="1"/>
    <col min="11" max="11" width="17.1796875" style="108" bestFit="1" customWidth="1"/>
    <col min="12" max="12" width="2.81640625" style="108" bestFit="1" customWidth="1"/>
    <col min="13" max="13" width="12.453125" style="108" bestFit="1" customWidth="1"/>
    <col min="14" max="14" width="9.90625" style="108" bestFit="1" customWidth="1"/>
    <col min="15" max="15" width="10.453125" style="108" bestFit="1" customWidth="1"/>
    <col min="16" max="16384" width="18.453125" style="108"/>
  </cols>
  <sheetData>
    <row r="1" spans="1:17" x14ac:dyDescent="0.3">
      <c r="A1" s="107" t="s">
        <v>0</v>
      </c>
    </row>
    <row r="2" spans="1:17" x14ac:dyDescent="0.3">
      <c r="A2" s="111" t="s">
        <v>201</v>
      </c>
    </row>
    <row r="3" spans="1:17" x14ac:dyDescent="0.3">
      <c r="A3" s="111"/>
    </row>
    <row r="4" spans="1:17" ht="26" x14ac:dyDescent="0.3">
      <c r="A4" s="125" t="s">
        <v>2</v>
      </c>
      <c r="B4" s="125" t="s">
        <v>3</v>
      </c>
      <c r="C4" s="125" t="s">
        <v>4</v>
      </c>
      <c r="D4" s="125" t="s">
        <v>5</v>
      </c>
      <c r="E4" s="125" t="s">
        <v>6</v>
      </c>
      <c r="F4" s="125" t="s">
        <v>232</v>
      </c>
      <c r="G4" s="125" t="s">
        <v>7</v>
      </c>
      <c r="H4" s="125" t="s">
        <v>8</v>
      </c>
      <c r="I4" s="125" t="s">
        <v>233</v>
      </c>
      <c r="J4" s="125" t="s">
        <v>10</v>
      </c>
      <c r="K4" s="125" t="s">
        <v>234</v>
      </c>
      <c r="M4" s="406" t="s">
        <v>235</v>
      </c>
      <c r="N4" s="406"/>
      <c r="O4" s="406"/>
    </row>
    <row r="5" spans="1:17" x14ac:dyDescent="0.3">
      <c r="A5" s="168" t="s">
        <v>236</v>
      </c>
      <c r="B5" s="125" t="s">
        <v>100</v>
      </c>
      <c r="C5" s="125" t="s">
        <v>205</v>
      </c>
      <c r="D5" s="169" t="s">
        <v>237</v>
      </c>
      <c r="E5" s="125" t="s">
        <v>93</v>
      </c>
      <c r="F5" s="127">
        <v>-1593742.94</v>
      </c>
      <c r="G5" s="127">
        <v>425500</v>
      </c>
      <c r="H5" s="127">
        <v>-356613.94</v>
      </c>
      <c r="I5" s="170">
        <f>SUM(F5:H5)</f>
        <v>-1524856.88</v>
      </c>
      <c r="J5" s="127">
        <v>0</v>
      </c>
      <c r="K5" s="167">
        <v>175155.04</v>
      </c>
      <c r="L5" s="108" t="s">
        <v>238</v>
      </c>
      <c r="M5" s="112" t="s">
        <v>98</v>
      </c>
      <c r="N5" s="171" t="s">
        <v>239</v>
      </c>
      <c r="O5" s="171" t="s">
        <v>240</v>
      </c>
      <c r="Q5" s="172"/>
    </row>
    <row r="6" spans="1:17" x14ac:dyDescent="0.3">
      <c r="A6" s="168" t="s">
        <v>236</v>
      </c>
      <c r="B6" s="125" t="s">
        <v>241</v>
      </c>
      <c r="C6" s="125" t="s">
        <v>205</v>
      </c>
      <c r="D6" s="173" t="s">
        <v>242</v>
      </c>
      <c r="E6" s="125" t="s">
        <v>93</v>
      </c>
      <c r="F6" s="127">
        <v>-137674556.56999993</v>
      </c>
      <c r="G6" s="127">
        <f>37000000+106874398.47</f>
        <v>143874398.47</v>
      </c>
      <c r="H6" s="127">
        <f>-41203176.99-95071548-1094544.62-7578904.5</f>
        <v>-144948174.11000001</v>
      </c>
      <c r="I6" s="170">
        <f>SUM(F6:H6)</f>
        <v>-138748332.20999995</v>
      </c>
      <c r="J6" s="127">
        <v>0</v>
      </c>
      <c r="K6" s="167">
        <v>-132757931.41</v>
      </c>
      <c r="M6" s="174" t="s">
        <v>209</v>
      </c>
      <c r="N6" s="172">
        <f>-H10-100</f>
        <v>3791000</v>
      </c>
      <c r="O6" s="122"/>
    </row>
    <row r="7" spans="1:17" x14ac:dyDescent="0.3">
      <c r="A7" s="168" t="s">
        <v>236</v>
      </c>
      <c r="B7" s="125" t="s">
        <v>243</v>
      </c>
      <c r="C7" s="125" t="s">
        <v>205</v>
      </c>
      <c r="D7" s="173" t="s">
        <v>244</v>
      </c>
      <c r="E7" s="125" t="s">
        <v>93</v>
      </c>
      <c r="F7" s="127">
        <v>1748408.9000000004</v>
      </c>
      <c r="G7" s="127">
        <v>5891563.4900000002</v>
      </c>
      <c r="H7" s="127">
        <v>-6395628.8899999997</v>
      </c>
      <c r="I7" s="170">
        <f t="shared" ref="I7:I14" si="0">SUM(F7:H7)</f>
        <v>1244343.5000000009</v>
      </c>
      <c r="J7" s="127">
        <v>0</v>
      </c>
      <c r="K7" s="167">
        <v>2948453.85</v>
      </c>
      <c r="M7" s="175" t="s">
        <v>245</v>
      </c>
      <c r="N7" s="172">
        <f>-H11-100</f>
        <v>3475000</v>
      </c>
      <c r="O7" s="176"/>
      <c r="Q7" s="176"/>
    </row>
    <row r="8" spans="1:17" x14ac:dyDescent="0.3">
      <c r="A8" s="168" t="s">
        <v>236</v>
      </c>
      <c r="B8" s="177" t="s">
        <v>58</v>
      </c>
      <c r="C8" s="125" t="s">
        <v>205</v>
      </c>
      <c r="D8" s="173" t="s">
        <v>246</v>
      </c>
      <c r="E8" s="125" t="s">
        <v>93</v>
      </c>
      <c r="F8" s="127">
        <v>3505</v>
      </c>
      <c r="G8" s="127">
        <v>0</v>
      </c>
      <c r="H8" s="127">
        <v>-600</v>
      </c>
      <c r="I8" s="170">
        <f t="shared" si="0"/>
        <v>2905</v>
      </c>
      <c r="J8" s="127">
        <v>0</v>
      </c>
      <c r="K8" s="167">
        <f>+I8</f>
        <v>2905</v>
      </c>
      <c r="M8" s="178" t="s">
        <v>112</v>
      </c>
      <c r="O8" s="172"/>
    </row>
    <row r="9" spans="1:17" x14ac:dyDescent="0.3">
      <c r="A9" s="168" t="s">
        <v>236</v>
      </c>
      <c r="B9" s="125" t="s">
        <v>109</v>
      </c>
      <c r="C9" s="125" t="s">
        <v>205</v>
      </c>
      <c r="D9" s="173" t="s">
        <v>247</v>
      </c>
      <c r="E9" s="125" t="s">
        <v>93</v>
      </c>
      <c r="F9" s="179">
        <v>157250.97</v>
      </c>
      <c r="G9" s="179">
        <v>0</v>
      </c>
      <c r="H9" s="179">
        <v>-157251</v>
      </c>
      <c r="I9" s="170">
        <f t="shared" si="0"/>
        <v>-2.9999999998835847E-2</v>
      </c>
      <c r="J9" s="179">
        <v>0</v>
      </c>
      <c r="K9" s="180">
        <f>+I9</f>
        <v>-2.9999999998835847E-2</v>
      </c>
      <c r="M9" s="119"/>
      <c r="O9" s="172"/>
    </row>
    <row r="10" spans="1:17" x14ac:dyDescent="0.3">
      <c r="A10" s="168" t="s">
        <v>236</v>
      </c>
      <c r="B10" s="181" t="s">
        <v>209</v>
      </c>
      <c r="C10" s="125" t="s">
        <v>205</v>
      </c>
      <c r="D10" s="173" t="s">
        <v>248</v>
      </c>
      <c r="E10" s="125" t="s">
        <v>93</v>
      </c>
      <c r="F10" s="127">
        <v>-14624.30999999959</v>
      </c>
      <c r="G10" s="127">
        <v>6324427.8899999997</v>
      </c>
      <c r="H10" s="127">
        <v>-3791100</v>
      </c>
      <c r="I10" s="170">
        <f t="shared" si="0"/>
        <v>2518703.58</v>
      </c>
      <c r="J10" s="127">
        <v>0</v>
      </c>
      <c r="K10" s="167">
        <v>2576850.38</v>
      </c>
      <c r="O10" s="172"/>
    </row>
    <row r="11" spans="1:17" x14ac:dyDescent="0.3">
      <c r="A11" s="168" t="s">
        <v>236</v>
      </c>
      <c r="B11" s="182" t="s">
        <v>245</v>
      </c>
      <c r="C11" s="125" t="s">
        <v>205</v>
      </c>
      <c r="D11" s="173" t="s">
        <v>249</v>
      </c>
      <c r="E11" s="125" t="s">
        <v>93</v>
      </c>
      <c r="F11" s="127">
        <v>648113.97000000067</v>
      </c>
      <c r="G11" s="127">
        <v>7908145</v>
      </c>
      <c r="H11" s="127">
        <v>-3475100</v>
      </c>
      <c r="I11" s="170">
        <f t="shared" si="0"/>
        <v>5081158.9700000007</v>
      </c>
      <c r="J11" s="127">
        <v>0</v>
      </c>
      <c r="K11" s="143">
        <v>5077690.38</v>
      </c>
      <c r="L11" s="108" t="s">
        <v>250</v>
      </c>
      <c r="M11" s="112" t="s">
        <v>58</v>
      </c>
      <c r="N11" s="171" t="s">
        <v>239</v>
      </c>
      <c r="O11" s="171" t="s">
        <v>240</v>
      </c>
    </row>
    <row r="12" spans="1:17" x14ac:dyDescent="0.3">
      <c r="A12" s="168" t="s">
        <v>236</v>
      </c>
      <c r="B12" s="183" t="s">
        <v>363</v>
      </c>
      <c r="C12" s="125" t="s">
        <v>205</v>
      </c>
      <c r="D12" s="173" t="s">
        <v>251</v>
      </c>
      <c r="E12" s="125" t="s">
        <v>93</v>
      </c>
      <c r="F12" s="127">
        <v>2191875.21</v>
      </c>
      <c r="G12" s="127">
        <v>0</v>
      </c>
      <c r="H12" s="127">
        <v>0</v>
      </c>
      <c r="I12" s="170">
        <f t="shared" si="0"/>
        <v>2191875.21</v>
      </c>
      <c r="J12" s="127">
        <v>0</v>
      </c>
      <c r="K12" s="167">
        <f t="shared" ref="K12:K14" si="1">+I12</f>
        <v>2191875.21</v>
      </c>
      <c r="M12" s="184" t="s">
        <v>252</v>
      </c>
      <c r="N12" s="172"/>
      <c r="O12" s="176"/>
    </row>
    <row r="13" spans="1:17" x14ac:dyDescent="0.3">
      <c r="A13" s="168" t="s">
        <v>236</v>
      </c>
      <c r="B13" s="125" t="s">
        <v>98</v>
      </c>
      <c r="C13" s="125" t="s">
        <v>253</v>
      </c>
      <c r="D13" s="173" t="s">
        <v>254</v>
      </c>
      <c r="E13" s="125" t="s">
        <v>99</v>
      </c>
      <c r="F13" s="127">
        <v>7388.8599999998696</v>
      </c>
      <c r="G13" s="127">
        <v>0</v>
      </c>
      <c r="H13" s="127">
        <v>0</v>
      </c>
      <c r="I13" s="170">
        <f t="shared" si="0"/>
        <v>7388.8599999998696</v>
      </c>
      <c r="J13" s="127">
        <v>0</v>
      </c>
      <c r="K13" s="167">
        <f t="shared" si="1"/>
        <v>7388.8599999998696</v>
      </c>
    </row>
    <row r="14" spans="1:17" x14ac:dyDescent="0.3">
      <c r="A14" s="168" t="s">
        <v>236</v>
      </c>
      <c r="B14" s="125" t="s">
        <v>58</v>
      </c>
      <c r="C14" s="125" t="s">
        <v>253</v>
      </c>
      <c r="D14" s="173" t="s">
        <v>255</v>
      </c>
      <c r="E14" s="125" t="s">
        <v>99</v>
      </c>
      <c r="F14" s="127">
        <v>15012.5</v>
      </c>
      <c r="G14" s="127">
        <v>0</v>
      </c>
      <c r="H14" s="127">
        <v>0</v>
      </c>
      <c r="I14" s="170">
        <f t="shared" si="0"/>
        <v>15012.5</v>
      </c>
      <c r="J14" s="127">
        <v>0</v>
      </c>
      <c r="K14" s="167">
        <f t="shared" si="1"/>
        <v>15012.5</v>
      </c>
    </row>
    <row r="15" spans="1:17" x14ac:dyDescent="0.3">
      <c r="A15" s="119"/>
      <c r="B15" s="119"/>
      <c r="C15" s="119"/>
      <c r="D15" s="119"/>
      <c r="E15" s="119"/>
      <c r="F15" s="119"/>
      <c r="G15" s="119"/>
      <c r="H15" s="119"/>
      <c r="I15" s="119"/>
      <c r="J15" s="119"/>
    </row>
    <row r="16" spans="1:17" x14ac:dyDescent="0.3">
      <c r="A16" s="119"/>
      <c r="B16" s="119"/>
      <c r="C16" s="119"/>
      <c r="D16" s="119"/>
      <c r="E16" s="119"/>
      <c r="F16" s="119"/>
      <c r="G16" s="119"/>
      <c r="H16" s="185"/>
      <c r="I16" s="186"/>
      <c r="J16" s="186"/>
      <c r="K16" s="187"/>
    </row>
    <row r="17" spans="1:11" x14ac:dyDescent="0.3">
      <c r="A17" s="107" t="s">
        <v>11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88"/>
    </row>
    <row r="18" spans="1:11" x14ac:dyDescent="0.3">
      <c r="A18" s="111" t="s">
        <v>213</v>
      </c>
      <c r="H18" s="189"/>
      <c r="I18" s="187"/>
      <c r="K18" s="187"/>
    </row>
    <row r="19" spans="1:11" x14ac:dyDescent="0.3">
      <c r="A19" s="111"/>
      <c r="B19" s="122" t="s">
        <v>13</v>
      </c>
      <c r="C19" s="122" t="s">
        <v>14</v>
      </c>
      <c r="D19" s="122" t="s">
        <v>15</v>
      </c>
      <c r="E19" s="122" t="s">
        <v>16</v>
      </c>
      <c r="F19" s="122" t="s">
        <v>17</v>
      </c>
      <c r="G19" s="122" t="s">
        <v>18</v>
      </c>
      <c r="H19" s="122" t="s">
        <v>19</v>
      </c>
      <c r="I19" s="122" t="s">
        <v>20</v>
      </c>
      <c r="J19" s="122" t="s">
        <v>21</v>
      </c>
    </row>
    <row r="20" spans="1:11" x14ac:dyDescent="0.3">
      <c r="A20" s="125" t="s">
        <v>22</v>
      </c>
      <c r="B20" s="125" t="s">
        <v>23</v>
      </c>
      <c r="C20" s="125" t="s">
        <v>24</v>
      </c>
      <c r="D20" s="125" t="s">
        <v>25</v>
      </c>
      <c r="E20" s="125" t="s">
        <v>26</v>
      </c>
      <c r="F20" s="125" t="s">
        <v>27</v>
      </c>
      <c r="G20" s="125" t="s">
        <v>28</v>
      </c>
      <c r="H20" s="125" t="s">
        <v>29</v>
      </c>
      <c r="I20" s="125" t="s">
        <v>30</v>
      </c>
      <c r="J20" s="125" t="s">
        <v>31</v>
      </c>
    </row>
    <row r="21" spans="1:11" x14ac:dyDescent="0.3">
      <c r="A21" s="119" t="s">
        <v>32</v>
      </c>
      <c r="B21" s="119" t="s">
        <v>256</v>
      </c>
      <c r="C21" s="119"/>
      <c r="D21" s="119"/>
      <c r="E21" s="119"/>
      <c r="F21" s="119"/>
      <c r="G21" s="119"/>
      <c r="H21" s="119"/>
      <c r="I21" s="119"/>
      <c r="J21" s="119"/>
    </row>
    <row r="24" spans="1:11" ht="14.5" x14ac:dyDescent="0.35">
      <c r="H24" s="79"/>
    </row>
    <row r="28" spans="1:11" x14ac:dyDescent="0.3">
      <c r="A28" s="107" t="s">
        <v>33</v>
      </c>
    </row>
    <row r="30" spans="1:11" x14ac:dyDescent="0.3">
      <c r="A30" s="128" t="s">
        <v>34</v>
      </c>
      <c r="B30" s="129"/>
      <c r="C30" s="130"/>
      <c r="D30" s="131"/>
      <c r="E30" s="133"/>
      <c r="F30" s="129"/>
      <c r="G30" s="130"/>
      <c r="H30" s="190"/>
      <c r="I30" s="191"/>
    </row>
    <row r="31" spans="1:11" ht="39" x14ac:dyDescent="0.3">
      <c r="A31" s="136" t="s">
        <v>35</v>
      </c>
      <c r="B31" s="137" t="s">
        <v>3</v>
      </c>
      <c r="C31" s="137" t="s">
        <v>36</v>
      </c>
      <c r="D31" s="137" t="s">
        <v>37</v>
      </c>
      <c r="E31" s="139" t="s">
        <v>38</v>
      </c>
      <c r="F31" s="162" t="s">
        <v>39</v>
      </c>
      <c r="G31" s="162" t="s">
        <v>40</v>
      </c>
      <c r="H31" s="162" t="s">
        <v>41</v>
      </c>
      <c r="I31" s="139" t="s">
        <v>257</v>
      </c>
    </row>
    <row r="32" spans="1:11" x14ac:dyDescent="0.3">
      <c r="A32" s="168" t="s">
        <v>236</v>
      </c>
      <c r="B32" s="168" t="s">
        <v>98</v>
      </c>
      <c r="C32" s="168" t="s">
        <v>63</v>
      </c>
      <c r="D32" s="168" t="s">
        <v>359</v>
      </c>
      <c r="E32" s="192">
        <v>100000000</v>
      </c>
      <c r="F32" s="193">
        <v>44110</v>
      </c>
      <c r="G32" s="194">
        <v>0.17</v>
      </c>
      <c r="H32" s="168">
        <v>5</v>
      </c>
      <c r="I32" s="195">
        <v>7076732.4400000004</v>
      </c>
    </row>
    <row r="33" spans="1:9" x14ac:dyDescent="0.3">
      <c r="A33" s="168" t="s">
        <v>236</v>
      </c>
      <c r="B33" s="168" t="s">
        <v>109</v>
      </c>
      <c r="C33" s="168" t="s">
        <v>258</v>
      </c>
      <c r="D33" s="168" t="s">
        <v>359</v>
      </c>
      <c r="E33" s="192">
        <v>20000000</v>
      </c>
      <c r="F33" s="168" t="s">
        <v>259</v>
      </c>
      <c r="G33" s="196">
        <v>0.1115</v>
      </c>
      <c r="H33" s="168">
        <v>49</v>
      </c>
      <c r="I33" s="197">
        <v>17064875.93</v>
      </c>
    </row>
    <row r="36" spans="1:9" x14ac:dyDescent="0.3">
      <c r="A36" s="128" t="s">
        <v>43</v>
      </c>
      <c r="B36" s="149"/>
      <c r="C36" s="150"/>
      <c r="D36" s="128"/>
      <c r="E36" s="152"/>
      <c r="F36" s="149"/>
      <c r="G36" s="150"/>
    </row>
    <row r="37" spans="1:9" ht="39" x14ac:dyDescent="0.3">
      <c r="A37" s="136" t="s">
        <v>35</v>
      </c>
      <c r="B37" s="137" t="s">
        <v>3</v>
      </c>
      <c r="C37" s="137" t="s">
        <v>44</v>
      </c>
      <c r="D37" s="137" t="s">
        <v>37</v>
      </c>
      <c r="E37" s="139" t="s">
        <v>45</v>
      </c>
      <c r="F37" s="137" t="s">
        <v>46</v>
      </c>
      <c r="G37" s="162" t="s">
        <v>260</v>
      </c>
    </row>
    <row r="38" spans="1:9" x14ac:dyDescent="0.3">
      <c r="A38" s="142" t="s">
        <v>236</v>
      </c>
      <c r="B38" s="168" t="s">
        <v>98</v>
      </c>
      <c r="C38" s="198" t="s">
        <v>72</v>
      </c>
      <c r="D38" s="198" t="s">
        <v>261</v>
      </c>
      <c r="E38" s="199">
        <v>160000000</v>
      </c>
      <c r="F38" s="198" t="s">
        <v>262</v>
      </c>
      <c r="G38" s="200">
        <f>+[1]Annexure1!C14</f>
        <v>358354626.85000002</v>
      </c>
      <c r="H38" s="108" t="s">
        <v>263</v>
      </c>
    </row>
    <row r="39" spans="1:9" x14ac:dyDescent="0.3">
      <c r="A39" s="142" t="s">
        <v>236</v>
      </c>
      <c r="B39" s="168" t="s">
        <v>98</v>
      </c>
      <c r="C39" s="168" t="s">
        <v>264</v>
      </c>
      <c r="D39" s="198" t="s">
        <v>82</v>
      </c>
      <c r="E39" s="199">
        <v>100000000</v>
      </c>
      <c r="F39" s="198" t="s">
        <v>262</v>
      </c>
      <c r="G39" s="200">
        <v>-132757931.41</v>
      </c>
    </row>
    <row r="40" spans="1:9" x14ac:dyDescent="0.3">
      <c r="A40" s="142" t="s">
        <v>236</v>
      </c>
      <c r="B40" s="168" t="s">
        <v>58</v>
      </c>
      <c r="C40" s="201" t="s">
        <v>265</v>
      </c>
      <c r="D40" s="201" t="s">
        <v>266</v>
      </c>
      <c r="E40" s="202">
        <v>1750000</v>
      </c>
      <c r="F40" s="203">
        <v>0.26</v>
      </c>
      <c r="G40" s="200">
        <f>+E40-24617.54</f>
        <v>1725382.46</v>
      </c>
      <c r="H40" s="204">
        <v>46142</v>
      </c>
      <c r="I40" s="204"/>
    </row>
    <row r="41" spans="1:9" x14ac:dyDescent="0.3">
      <c r="A41" s="142" t="s">
        <v>236</v>
      </c>
      <c r="B41" s="168" t="s">
        <v>267</v>
      </c>
      <c r="C41" s="201" t="s">
        <v>265</v>
      </c>
      <c r="D41" s="201" t="s">
        <v>266</v>
      </c>
      <c r="E41" s="202">
        <v>4500000</v>
      </c>
      <c r="F41" s="203">
        <v>0.26</v>
      </c>
      <c r="G41" s="200">
        <f>+E41-63762.87</f>
        <v>4436237.13</v>
      </c>
      <c r="H41" s="204">
        <v>46143</v>
      </c>
      <c r="I41" s="204"/>
    </row>
    <row r="44" spans="1:9" x14ac:dyDescent="0.3">
      <c r="A44" s="128" t="s">
        <v>48</v>
      </c>
      <c r="B44" s="129"/>
      <c r="C44" s="130"/>
      <c r="D44" s="131"/>
      <c r="E44" s="130"/>
      <c r="F44" s="129"/>
      <c r="G44" s="130"/>
    </row>
    <row r="45" spans="1:9" ht="26" x14ac:dyDescent="0.3">
      <c r="A45" s="136" t="s">
        <v>35</v>
      </c>
      <c r="B45" s="162" t="s">
        <v>49</v>
      </c>
      <c r="C45" s="162" t="s">
        <v>50</v>
      </c>
      <c r="D45" s="163" t="s">
        <v>51</v>
      </c>
      <c r="E45" s="162" t="s">
        <v>52</v>
      </c>
      <c r="F45" s="137" t="s">
        <v>37</v>
      </c>
      <c r="G45" s="137" t="s">
        <v>46</v>
      </c>
      <c r="H45" s="162" t="s">
        <v>53</v>
      </c>
      <c r="I45" s="162" t="s">
        <v>268</v>
      </c>
    </row>
    <row r="46" spans="1:9" x14ac:dyDescent="0.3">
      <c r="A46" s="168" t="s">
        <v>236</v>
      </c>
      <c r="B46" s="168" t="s">
        <v>98</v>
      </c>
      <c r="C46" s="205">
        <v>11990959.289999999</v>
      </c>
      <c r="D46" s="168" t="s">
        <v>361</v>
      </c>
      <c r="E46" s="168" t="s">
        <v>269</v>
      </c>
      <c r="F46" s="168" t="s">
        <v>270</v>
      </c>
      <c r="G46" s="145">
        <v>7.2499999999999995E-2</v>
      </c>
      <c r="H46" s="407" t="s">
        <v>271</v>
      </c>
      <c r="I46" s="142"/>
    </row>
    <row r="47" spans="1:9" x14ac:dyDescent="0.3">
      <c r="A47" s="168" t="s">
        <v>236</v>
      </c>
      <c r="B47" s="168" t="s">
        <v>98</v>
      </c>
      <c r="C47" s="205">
        <v>9874437.1343339235</v>
      </c>
      <c r="D47" s="207" t="s">
        <v>362</v>
      </c>
      <c r="E47" s="207" t="s">
        <v>272</v>
      </c>
      <c r="F47" s="168" t="s">
        <v>270</v>
      </c>
      <c r="G47" s="145">
        <v>8.2500000000000004E-2</v>
      </c>
      <c r="H47" s="408"/>
      <c r="I47" s="142"/>
    </row>
    <row r="48" spans="1:9" x14ac:dyDescent="0.3">
      <c r="A48" s="168" t="s">
        <v>236</v>
      </c>
      <c r="B48" s="168" t="s">
        <v>98</v>
      </c>
      <c r="C48" s="205">
        <v>3097793.52</v>
      </c>
      <c r="D48" s="208">
        <v>45758</v>
      </c>
      <c r="E48" s="208">
        <v>46123</v>
      </c>
      <c r="F48" s="168" t="s">
        <v>270</v>
      </c>
      <c r="G48" s="145">
        <v>0.08</v>
      </c>
      <c r="H48" s="408"/>
      <c r="I48" s="142"/>
    </row>
    <row r="49" spans="1:9" x14ac:dyDescent="0.3">
      <c r="A49" s="168" t="s">
        <v>236</v>
      </c>
      <c r="B49" s="168" t="s">
        <v>98</v>
      </c>
      <c r="C49" s="205">
        <v>20000000</v>
      </c>
      <c r="D49" s="209" t="s">
        <v>273</v>
      </c>
      <c r="E49" s="210" t="s">
        <v>274</v>
      </c>
      <c r="F49" s="168" t="s">
        <v>270</v>
      </c>
      <c r="G49" s="145">
        <v>8.5000000000000006E-2</v>
      </c>
      <c r="H49" s="408"/>
      <c r="I49" s="142"/>
    </row>
    <row r="50" spans="1:9" ht="13" customHeight="1" x14ac:dyDescent="0.3">
      <c r="A50" s="168" t="s">
        <v>236</v>
      </c>
      <c r="B50" s="168" t="s">
        <v>275</v>
      </c>
      <c r="C50" s="205">
        <v>3321940.98</v>
      </c>
      <c r="D50" s="410" t="s">
        <v>276</v>
      </c>
      <c r="E50" s="411"/>
      <c r="F50" s="412"/>
      <c r="G50" s="211">
        <v>0.04</v>
      </c>
      <c r="H50" s="409"/>
      <c r="I50" s="180"/>
    </row>
    <row r="51" spans="1:9" x14ac:dyDescent="0.3">
      <c r="A51" s="168" t="s">
        <v>236</v>
      </c>
      <c r="B51" s="168" t="s">
        <v>277</v>
      </c>
      <c r="C51" s="205">
        <v>872693.76000000001</v>
      </c>
      <c r="D51" s="206"/>
      <c r="E51" s="141" t="s">
        <v>199</v>
      </c>
      <c r="F51" s="168" t="s">
        <v>199</v>
      </c>
      <c r="G51" s="211">
        <v>2.5000000000000001E-2</v>
      </c>
      <c r="H51" s="168" t="s">
        <v>199</v>
      </c>
      <c r="I51" s="142"/>
    </row>
    <row r="52" spans="1:9" ht="13.75" customHeight="1" x14ac:dyDescent="0.3">
      <c r="A52" s="168" t="s">
        <v>236</v>
      </c>
      <c r="B52" s="168" t="s">
        <v>267</v>
      </c>
      <c r="C52" s="205">
        <v>1468887.48</v>
      </c>
      <c r="D52" s="206" t="s">
        <v>278</v>
      </c>
      <c r="E52" s="141" t="s">
        <v>279</v>
      </c>
      <c r="F52" s="168" t="s">
        <v>270</v>
      </c>
      <c r="G52" s="211">
        <v>8.5999999999999993E-2</v>
      </c>
      <c r="H52" s="168" t="s">
        <v>199</v>
      </c>
      <c r="I52" s="407" t="s">
        <v>280</v>
      </c>
    </row>
    <row r="53" spans="1:9" x14ac:dyDescent="0.3">
      <c r="A53" s="168" t="s">
        <v>236</v>
      </c>
      <c r="B53" s="168" t="s">
        <v>267</v>
      </c>
      <c r="C53" s="205">
        <v>2176254.2599999998</v>
      </c>
      <c r="D53" s="206" t="s">
        <v>281</v>
      </c>
      <c r="E53" s="212">
        <v>46270</v>
      </c>
      <c r="F53" s="168" t="s">
        <v>270</v>
      </c>
      <c r="G53" s="211">
        <v>8.5999999999999993E-2</v>
      </c>
      <c r="H53" s="168" t="s">
        <v>199</v>
      </c>
      <c r="I53" s="408"/>
    </row>
    <row r="54" spans="1:9" x14ac:dyDescent="0.3">
      <c r="A54" s="168" t="s">
        <v>236</v>
      </c>
      <c r="B54" s="168" t="s">
        <v>267</v>
      </c>
      <c r="C54" s="205">
        <v>2851577.2</v>
      </c>
      <c r="D54" s="206" t="s">
        <v>282</v>
      </c>
      <c r="E54" s="212">
        <v>46120</v>
      </c>
      <c r="F54" s="168" t="s">
        <v>270</v>
      </c>
      <c r="G54" s="211">
        <v>8.2500000000000004E-2</v>
      </c>
      <c r="H54" s="168" t="s">
        <v>199</v>
      </c>
      <c r="I54" s="409"/>
    </row>
  </sheetData>
  <mergeCells count="4">
    <mergeCell ref="M4:O4"/>
    <mergeCell ref="H46:H50"/>
    <mergeCell ref="I52:I54"/>
    <mergeCell ref="D50:F50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F4F2-2CA0-4DE8-A7DF-36D12F5494B8}">
  <dimension ref="A1:E17"/>
  <sheetViews>
    <sheetView workbookViewId="0">
      <selection activeCell="I12" sqref="I12"/>
    </sheetView>
  </sheetViews>
  <sheetFormatPr defaultRowHeight="14.5" x14ac:dyDescent="0.35"/>
  <cols>
    <col min="1" max="1" width="13.08984375" style="249" bestFit="1" customWidth="1"/>
    <col min="2" max="2" width="14.6328125" bestFit="1" customWidth="1"/>
    <col min="3" max="3" width="13.81640625" bestFit="1" customWidth="1"/>
    <col min="4" max="4" width="10.36328125" bestFit="1" customWidth="1"/>
    <col min="5" max="5" width="7.08984375" bestFit="1" customWidth="1"/>
  </cols>
  <sheetData>
    <row r="1" spans="1:5" x14ac:dyDescent="0.35">
      <c r="A1" s="243">
        <v>114490261527</v>
      </c>
      <c r="B1" s="244" t="s">
        <v>287</v>
      </c>
      <c r="C1" s="245">
        <v>20000000</v>
      </c>
      <c r="D1" t="s">
        <v>288</v>
      </c>
      <c r="E1" s="215">
        <v>0.12</v>
      </c>
    </row>
    <row r="2" spans="1:5" x14ac:dyDescent="0.35">
      <c r="A2" s="243">
        <v>114490264103</v>
      </c>
      <c r="B2" s="244" t="s">
        <v>289</v>
      </c>
      <c r="C2" s="245">
        <v>45000000</v>
      </c>
      <c r="D2" t="s">
        <v>290</v>
      </c>
      <c r="E2" s="246">
        <v>9.7600000000000006E-2</v>
      </c>
    </row>
    <row r="3" spans="1:5" x14ac:dyDescent="0.35">
      <c r="A3" s="243">
        <v>114490272057</v>
      </c>
      <c r="B3" s="244" t="s">
        <v>291</v>
      </c>
      <c r="C3" s="247">
        <v>7054626.8499999996</v>
      </c>
      <c r="D3" s="214">
        <v>46084</v>
      </c>
      <c r="E3" s="246">
        <v>9.7799999999999998E-2</v>
      </c>
    </row>
    <row r="4" spans="1:5" x14ac:dyDescent="0.35">
      <c r="A4" s="243">
        <v>114490273463</v>
      </c>
      <c r="B4" s="244" t="s">
        <v>292</v>
      </c>
      <c r="C4" s="245">
        <v>10000000</v>
      </c>
      <c r="D4" s="214">
        <v>46268</v>
      </c>
      <c r="E4" s="246">
        <v>0.1036</v>
      </c>
    </row>
    <row r="5" spans="1:5" x14ac:dyDescent="0.35">
      <c r="A5" s="243">
        <v>114490275393</v>
      </c>
      <c r="B5" s="244" t="s">
        <v>293</v>
      </c>
      <c r="C5" s="245">
        <v>85000000</v>
      </c>
      <c r="D5" t="s">
        <v>294</v>
      </c>
      <c r="E5" s="215">
        <v>0.11</v>
      </c>
    </row>
    <row r="6" spans="1:5" x14ac:dyDescent="0.35">
      <c r="A6" s="243">
        <v>114490276691</v>
      </c>
      <c r="B6" s="244" t="s">
        <v>295</v>
      </c>
      <c r="C6" s="245">
        <v>24000000</v>
      </c>
      <c r="D6" t="s">
        <v>296</v>
      </c>
      <c r="E6" s="215">
        <v>0.12</v>
      </c>
    </row>
    <row r="7" spans="1:5" x14ac:dyDescent="0.35">
      <c r="A7" s="243">
        <v>114490277345</v>
      </c>
      <c r="B7" s="244" t="s">
        <v>297</v>
      </c>
      <c r="C7" s="245">
        <v>16000000</v>
      </c>
      <c r="D7" t="s">
        <v>298</v>
      </c>
      <c r="E7" s="215">
        <v>0.11</v>
      </c>
    </row>
    <row r="8" spans="1:5" x14ac:dyDescent="0.35">
      <c r="A8" s="243">
        <v>114490279248</v>
      </c>
      <c r="B8" s="244" t="s">
        <v>299</v>
      </c>
      <c r="C8" s="245">
        <v>21000000</v>
      </c>
      <c r="D8" t="s">
        <v>300</v>
      </c>
      <c r="E8" s="246">
        <v>9.7799999999999998E-2</v>
      </c>
    </row>
    <row r="9" spans="1:5" x14ac:dyDescent="0.35">
      <c r="A9" s="243">
        <v>114490280966</v>
      </c>
      <c r="B9" s="244" t="s">
        <v>301</v>
      </c>
      <c r="C9" s="245">
        <v>60000000</v>
      </c>
      <c r="D9" s="214">
        <v>46207</v>
      </c>
      <c r="E9" s="215">
        <v>0.12</v>
      </c>
    </row>
    <row r="10" spans="1:5" x14ac:dyDescent="0.35">
      <c r="A10" s="243">
        <v>114490282489</v>
      </c>
      <c r="B10" s="244" t="s">
        <v>302</v>
      </c>
      <c r="C10" s="245">
        <v>33300000</v>
      </c>
      <c r="D10" t="s">
        <v>303</v>
      </c>
      <c r="E10" s="215">
        <v>0.12</v>
      </c>
    </row>
    <row r="11" spans="1:5" x14ac:dyDescent="0.35">
      <c r="A11" s="243">
        <v>114490283817</v>
      </c>
      <c r="B11" s="244" t="s">
        <v>304</v>
      </c>
      <c r="C11" s="245">
        <v>22000000</v>
      </c>
      <c r="D11" t="s">
        <v>305</v>
      </c>
      <c r="E11" s="215">
        <v>0.12</v>
      </c>
    </row>
    <row r="12" spans="1:5" x14ac:dyDescent="0.35">
      <c r="A12" s="243">
        <v>114490286018</v>
      </c>
      <c r="B12" s="248" t="s">
        <v>306</v>
      </c>
      <c r="C12" s="247">
        <v>15000000</v>
      </c>
      <c r="D12" t="s">
        <v>307</v>
      </c>
      <c r="E12" s="215">
        <v>0.12</v>
      </c>
    </row>
    <row r="13" spans="1:5" x14ac:dyDescent="0.35">
      <c r="A13" s="243"/>
      <c r="B13" s="244"/>
      <c r="C13" s="245"/>
      <c r="E13" s="215"/>
    </row>
    <row r="14" spans="1:5" x14ac:dyDescent="0.35">
      <c r="A14" s="243"/>
      <c r="B14" s="244"/>
      <c r="C14" s="245">
        <f>SUM(C1:C13)</f>
        <v>358354626.85000002</v>
      </c>
    </row>
    <row r="15" spans="1:5" x14ac:dyDescent="0.35">
      <c r="A15"/>
    </row>
    <row r="16" spans="1:5" x14ac:dyDescent="0.35">
      <c r="A16" s="243"/>
    </row>
    <row r="17" spans="1:3" x14ac:dyDescent="0.35">
      <c r="A17" t="s">
        <v>305</v>
      </c>
      <c r="C17" s="245">
        <v>370683167.12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1. Summary</vt:lpstr>
      <vt:lpstr>3. Loans</vt:lpstr>
      <vt:lpstr>3.3 deposits</vt:lpstr>
      <vt:lpstr>1. GSS</vt:lpstr>
      <vt:lpstr>2. GSS</vt:lpstr>
      <vt:lpstr>1. Citrus Group</vt:lpstr>
      <vt:lpstr>3. Citrus Group</vt:lpstr>
      <vt:lpstr>1 &amp; 3 GSIB</vt:lpstr>
      <vt:lpstr>1. GSH</vt:lpstr>
      <vt:lpstr>3. GSH</vt:lpstr>
      <vt:lpstr>1 &amp; 3 GST</vt:lpstr>
      <vt:lpstr>1 &amp; 3 GS Ticketing</vt:lpstr>
      <vt:lpstr>3. GSTravels Annexure1</vt:lpstr>
      <vt:lpstr>'1. Summary'!Print_Area</vt:lpstr>
      <vt:lpstr>'3.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Chinthani Premachandra</dc:creator>
  <cp:lastModifiedBy>Neerajah Kandasamy</cp:lastModifiedBy>
  <cp:lastPrinted>2026-07-21T12:43:49Z</cp:lastPrinted>
  <dcterms:created xsi:type="dcterms:W3CDTF">2026-05-14T09:37:07Z</dcterms:created>
  <dcterms:modified xsi:type="dcterms:W3CDTF">2026-07-23T15:07:31Z</dcterms:modified>
</cp:coreProperties>
</file>